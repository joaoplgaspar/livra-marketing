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" sheetId="1" state="visible" r:id="rId3"/>
    <sheet name="Gravações" sheetId="2" state="visible" r:id="rId4"/>
    <sheet name="Carrosséis" sheetId="3" state="visible" r:id="rId5"/>
    <sheet name="Marcos" sheetId="4" state="visible" r:id="rId6"/>
    <sheet name="Métr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<sst xmlns="http://schemas.openxmlformats.org/spreadsheetml/2006/main" count="520" uniqueCount="305">
  <si>
    <t xml:space="preserve">Livra — cronograma de marketing · 11/08 a 20/09</t>
  </si>
  <si>
    <t xml:space="preserve">5 posts de feed por semana (dom a qui; sex e sáb são os piores dias medidos). Stories todo dia. Durante a Bienal a regra é suspensa: posta todo dia. Nunca dois posts de feed no mesmo dia.</t>
  </si>
  <si>
    <t xml:space="preserve">Data</t>
  </si>
  <si>
    <t xml:space="preserve">Dia</t>
  </si>
  <si>
    <t xml:space="preserve">Fase</t>
  </si>
  <si>
    <t xml:space="preserve">Tipo</t>
  </si>
  <si>
    <t xml:space="preserve">Peça</t>
  </si>
  <si>
    <t xml:space="preserve">Assunto</t>
  </si>
  <si>
    <t xml:space="preserve">Observação</t>
  </si>
  <si>
    <t xml:space="preserve">Status</t>
  </si>
  <si>
    <t xml:space="preserve">Quem</t>
  </si>
  <si>
    <t xml:space="preserve">ter</t>
  </si>
  <si>
    <t xml:space="preserve">Aquecimento</t>
  </si>
  <si>
    <t xml:space="preserve">Carrossel</t>
  </si>
  <si>
    <t xml:space="preserve">C2</t>
  </si>
  <si>
    <t xml:space="preserve">7 sinais de que você compra mais rápido do que lê</t>
  </si>
  <si>
    <t xml:space="preserve">PRONTO. Começa o karma do Reddit hoje</t>
  </si>
  <si>
    <t xml:space="preserve">qua</t>
  </si>
  <si>
    <t xml:space="preserve">Stories</t>
  </si>
  <si>
    <t xml:space="preserve">—</t>
  </si>
  <si>
    <t xml:space="preserve">Enquete: quantos livros você tem começados?</t>
  </si>
  <si>
    <t xml:space="preserve">Recolher respostas para o beta</t>
  </si>
  <si>
    <t xml:space="preserve">qui</t>
  </si>
  <si>
    <t xml:space="preserve">C6</t>
  </si>
  <si>
    <t xml:space="preserve">Escaneie a estante inteira</t>
  </si>
  <si>
    <t xml:space="preserve">PRONTO</t>
  </si>
  <si>
    <t xml:space="preserve">sex</t>
  </si>
  <si>
    <t xml:space="preserve">Marco</t>
  </si>
  <si>
    <t xml:space="preserve">Congelar identidade e roteiros do lote 1</t>
  </si>
  <si>
    <t xml:space="preserve">Nada publica</t>
  </si>
  <si>
    <t xml:space="preserve">sáb</t>
  </si>
  <si>
    <t xml:space="preserve">Gravação</t>
  </si>
  <si>
    <t xml:space="preserve">LOTE 1</t>
  </si>
  <si>
    <t xml:space="preserve">GRAVAÇÃO EM LOTE — 10 vídeos</t>
  </si>
  <si>
    <t xml:space="preserve">Equipe toda. Ver aba Gravações</t>
  </si>
  <si>
    <t xml:space="preserve">dom</t>
  </si>
  <si>
    <t xml:space="preserve">Reels</t>
  </si>
  <si>
    <t xml:space="preserve">R1</t>
  </si>
  <si>
    <t xml:space="preserve">53% dos brasileiros não leem nenhum livro</t>
  </si>
  <si>
    <t xml:space="preserve">Primeiro Reels no ar</t>
  </si>
  <si>
    <t xml:space="preserve">seg</t>
  </si>
  <si>
    <t xml:space="preserve">E1</t>
  </si>
  <si>
    <t xml:space="preserve">Vou colocar essa estante inteira no celular</t>
  </si>
  <si>
    <t xml:space="preserve">Karma do Reddit completo hoje</t>
  </si>
  <si>
    <t xml:space="preserve">F1</t>
  </si>
  <si>
    <t xml:space="preserve">Ninguém larga livro chato</t>
  </si>
  <si>
    <t xml:space="preserve">POST NO r/LIVROS</t>
  </si>
  <si>
    <t xml:space="preserve">Postar 19h-21h e responder a noite inteira</t>
  </si>
  <si>
    <t xml:space="preserve">BETA</t>
  </si>
  <si>
    <t xml:space="preserve">Convite do acesso antecipado</t>
  </si>
  <si>
    <t xml:space="preserve">PRONTO. Cai junto com o Reddit</t>
  </si>
  <si>
    <t xml:space="preserve">R2</t>
  </si>
  <si>
    <t xml:space="preserve">Preciso de 30 pessoas que compram mais do que leem</t>
  </si>
  <si>
    <t xml:space="preserve">SUBMETER O APP (liberação manual)</t>
  </si>
  <si>
    <t xml:space="preserve">Prazo-limite. Ver aba Marcos</t>
  </si>
  <si>
    <t xml:space="preserve">LOTE 2</t>
  </si>
  <si>
    <t xml:space="preserve">Trocar de roupa entre blocos</t>
  </si>
  <si>
    <t xml:space="preserve">E4</t>
  </si>
  <si>
    <t xml:space="preserve">Meus 3 tipos de livro</t>
  </si>
  <si>
    <t xml:space="preserve">C1</t>
  </si>
  <si>
    <t xml:space="preserve">Guia de sobrevivência da Bienal 2026</t>
  </si>
  <si>
    <t xml:space="preserve">PRONTO. 10 dias antes do evento</t>
  </si>
  <si>
    <t xml:space="preserve">L1</t>
  </si>
  <si>
    <t xml:space="preserve">Pedi um livro pro meu humor</t>
  </si>
  <si>
    <t xml:space="preserve">Responder TODOS os comentários com indicação real</t>
  </si>
  <si>
    <t xml:space="preserve">C4</t>
  </si>
  <si>
    <t xml:space="preserve">O que fazer com os 6 livros que você começou</t>
  </si>
  <si>
    <t xml:space="preserve">A PRODUZIR — arquétipo lista</t>
  </si>
  <si>
    <t xml:space="preserve">M1</t>
  </si>
  <si>
    <t xml:space="preserve">O bibliotecário viu</t>
  </si>
  <si>
    <t xml:space="preserve">LOTE 3</t>
  </si>
  <si>
    <t xml:space="preserve">Último antes do lançamento</t>
  </si>
  <si>
    <t xml:space="preserve">G4</t>
  </si>
  <si>
    <t xml:space="preserve">Progresso arrastando, XP subindo</t>
  </si>
  <si>
    <t xml:space="preserve">F3</t>
  </si>
  <si>
    <t xml:space="preserve">25 minutos, cronometrados</t>
  </si>
  <si>
    <t xml:space="preserve">Confirmar creators para a Bienal</t>
  </si>
  <si>
    <t xml:space="preserve">Lançamento</t>
  </si>
  <si>
    <t xml:space="preserve">LANÇAMENTO — apertar o botão nas lojas</t>
  </si>
  <si>
    <t xml:space="preserve">Começa a mídia paga: R$ 30/dia</t>
  </si>
  <si>
    <t xml:space="preserve">R1b</t>
  </si>
  <si>
    <t xml:space="preserve">Republicar o manifesto, versão lançamento</t>
  </si>
  <si>
    <t xml:space="preserve">C5</t>
  </si>
  <si>
    <t xml:space="preserve">A moeda do Livra você ganha lendo</t>
  </si>
  <si>
    <t xml:space="preserve">A PRODUZIR — arquétipo carta</t>
  </si>
  <si>
    <t xml:space="preserve">Bienal</t>
  </si>
  <si>
    <t xml:space="preserve">E2</t>
  </si>
  <si>
    <t xml:space="preserve">ABERTURA DA BIENAL — o haul</t>
  </si>
  <si>
    <t xml:space="preserve">Publicar 18h-20h</t>
  </si>
  <si>
    <t xml:space="preserve">Cobertura do dia + achados</t>
  </si>
  <si>
    <t xml:space="preserve">Gravado no local</t>
  </si>
  <si>
    <t xml:space="preserve">Cobertura — 2 pessoas no evento</t>
  </si>
  <si>
    <t xml:space="preserve">Domingo</t>
  </si>
  <si>
    <t xml:space="preserve">E2b</t>
  </si>
  <si>
    <t xml:space="preserve">FERIADO — pico de público</t>
  </si>
  <si>
    <t xml:space="preserve">Reforçar equipe. Ver aba Marcos</t>
  </si>
  <si>
    <t xml:space="preserve">F2</t>
  </si>
  <si>
    <t xml:space="preserve">Tempo de tela que você não se arrepende</t>
  </si>
  <si>
    <t xml:space="preserve">C8</t>
  </si>
  <si>
    <t xml:space="preserve">Quanto custa ler 12 livros por ano</t>
  </si>
  <si>
    <t xml:space="preserve">A PRODUZIR — arquétipo dado</t>
  </si>
  <si>
    <t xml:space="preserve">L2</t>
  </si>
  <si>
    <t xml:space="preserve">Terminei o livro. E agora?</t>
  </si>
  <si>
    <t xml:space="preserve">G3</t>
  </si>
  <si>
    <t xml:space="preserve">O streak mais fácil do mundo</t>
  </si>
  <si>
    <t xml:space="preserve">SÁBADO — equipe completa, captação máxima</t>
  </si>
  <si>
    <t xml:space="preserve">4 a 6 pessoas no evento</t>
  </si>
  <si>
    <t xml:space="preserve">Encerramento da Bienal</t>
  </si>
  <si>
    <t xml:space="preserve">Cauda</t>
  </si>
  <si>
    <t xml:space="preserve">E2c</t>
  </si>
  <si>
    <t xml:space="preserve">ONDA DE HAUL — mostre o seu</t>
  </si>
  <si>
    <t xml:space="preserve">40% da munição começa aqui</t>
  </si>
  <si>
    <t xml:space="preserve">PR: Retrato da Bienal Livra</t>
  </si>
  <si>
    <t xml:space="preserve">Dados agregados para imprensa</t>
  </si>
  <si>
    <t xml:space="preserve">M3</t>
  </si>
  <si>
    <t xml:space="preserve">Lura responde os comentários</t>
  </si>
  <si>
    <t xml:space="preserve">C3</t>
  </si>
  <si>
    <t xml:space="preserve">A leitura no Brasil em 5 números</t>
  </si>
  <si>
    <t xml:space="preserve">G2</t>
  </si>
  <si>
    <t xml:space="preserve">Perdi um streak de 43 dias</t>
  </si>
  <si>
    <t xml:space="preserve">C1v</t>
  </si>
  <si>
    <t xml:space="preserve">Meu ano de leitura em um card</t>
  </si>
  <si>
    <t xml:space="preserve">Fecha o ciclo</t>
  </si>
  <si>
    <t xml:space="preserve">Resumo</t>
  </si>
  <si>
    <t xml:space="preserve">Publicações no período</t>
  </si>
  <si>
    <t xml:space="preserve">Carrosséis</t>
  </si>
  <si>
    <t xml:space="preserve">Sessões de gravação</t>
  </si>
  <si>
    <t xml:space="preserve">Marcos sem publicação</t>
  </si>
  <si>
    <t xml:space="preserve">Publicados</t>
  </si>
  <si>
    <t xml:space="preserve">Status: A gravar · Gravado · Editado · Agendado · Publicado</t>
  </si>
  <si>
    <t xml:space="preserve">Horário: melhores janelas medidas são qua 12h, qua 18h e qui 9h (Buffer, 9,6 mi de posts). Publicar entre 12h e 19h, terça a quinta.</t>
  </si>
  <si>
    <t xml:space="preserve">Três sábados, 30 vídeos</t>
  </si>
  <si>
    <t xml:space="preserve">Grave todos os ganchos primeiro e depois todos os corpos. Troque de camiseta entre blocos — a mesma roupa não pode aparecer em dois vídeos da mesma semana. Deixe 2 vagas por lote para refazer o que performou.</t>
  </si>
  <si>
    <t xml:space="preserve">Lote</t>
  </si>
  <si>
    <t xml:space="preserve">ID</t>
  </si>
  <si>
    <t xml:space="preserve">Trilha</t>
  </si>
  <si>
    <t xml:space="preserve">Gancho (segundo 0)</t>
  </si>
  <si>
    <t xml:space="preserve">O que filmar</t>
  </si>
  <si>
    <t xml:space="preserve">Tela</t>
  </si>
  <si>
    <t xml:space="preserve">Vou colocar essa estante inteira no celular. Cronometrado</t>
  </si>
  <si>
    <t xml:space="preserve">Plano contínuo escaneando livro atrás de livro, timer no canto</t>
  </si>
  <si>
    <t xml:space="preserve">Ninguém larga livro chato. A gente larga livro bom no dia ruim</t>
  </si>
  <si>
    <t xml:space="preserve">Livro fechado com marcador na página 47, mão abre, corta pro modo foco</t>
  </si>
  <si>
    <t xml:space="preserve">É só isso o app inteiro (timer correndo)</t>
  </si>
  <si>
    <t xml:space="preserve">Dedo aperta iniciar, som de página virando, timer acelerado</t>
  </si>
  <si>
    <t xml:space="preserve">Corte rápido nas três abas: lendo, quero ler, li</t>
  </si>
  <si>
    <t xml:space="preserve">Progresso arrastando, XP saltando</t>
  </si>
  <si>
    <t xml:space="preserve">Sem narração. Só o número subindo</t>
  </si>
  <si>
    <t xml:space="preserve">P1</t>
  </si>
  <si>
    <t xml:space="preserve">Eu leio nos dois. Meu app também</t>
  </si>
  <si>
    <t xml:space="preserve">Livro físico numa mão, Kindle na outra, toggle na tela</t>
  </si>
  <si>
    <t xml:space="preserve">Rosto</t>
  </si>
  <si>
    <t xml:space="preserve">Pessoa fixa da trilha rosto. Manifesto</t>
  </si>
  <si>
    <t xml:space="preserve">Mesma sessão, trocar camiseta</t>
  </si>
  <si>
    <t xml:space="preserve">F4</t>
  </si>
  <si>
    <t xml:space="preserve">A parte que ninguém acredita</t>
  </si>
  <si>
    <t xml:space="preserve">Progresso subindo sozinho depois do foco</t>
  </si>
  <si>
    <t xml:space="preserve">P2</t>
  </si>
  <si>
    <t xml:space="preserve">Larguei em março. Voltei hoje. Sabia onde parei</t>
  </si>
  <si>
    <t xml:space="preserve">Abre o app, progresso salvo, retoma</t>
  </si>
  <si>
    <t xml:space="preserve">quero chorar mas com final feliz</t>
  </si>
  <si>
    <t xml:space="preserve">Campo de texto sendo digitado, Lura responde com motivo</t>
  </si>
  <si>
    <t xml:space="preserve">O pior momento da leitura é esse aqui</t>
  </si>
  <si>
    <t xml:space="preserve">Tela de livro concluído, confete, sugestão do próximo</t>
  </si>
  <si>
    <t xml:space="preserve">G1</t>
  </si>
  <si>
    <t xml:space="preserve">Tem gente ganhando de mim e eu não conheço ninguém</t>
  </si>
  <si>
    <t xml:space="preserve">Tela da Liga, ranking semanal</t>
  </si>
  <si>
    <t xml:space="preserve">Pra manter o streak aqui você precisa ler... cinco minutos</t>
  </si>
  <si>
    <t xml:space="preserve">Abre foco, 5 min, streak mantido</t>
  </si>
  <si>
    <t xml:space="preserve">E3</t>
  </si>
  <si>
    <t xml:space="preserve">Você tem 400 livros no Skoob e não vai digitar de novo</t>
  </si>
  <si>
    <t xml:space="preserve">Botão importar, estante inteira aparecendo</t>
  </si>
  <si>
    <t xml:space="preserve">Isso aqui é pra postar, não é pra guardar</t>
  </si>
  <si>
    <t xml:space="preserve">Card sendo gerado e compartilhado no story</t>
  </si>
  <si>
    <t xml:space="preserve">Mascote</t>
  </si>
  <si>
    <t xml:space="preserve">Última página lida em 14 de março. Só passando pra dizer oi</t>
  </si>
  <si>
    <t xml:space="preserve">3 notificações em sequência, voz do Lura</t>
  </si>
  <si>
    <t xml:space="preserve">R4</t>
  </si>
  <si>
    <t xml:space="preserve">Se você fala de livro na internet, esse vídeo é pra você</t>
  </si>
  <si>
    <t xml:space="preserve">Convite aos creators</t>
  </si>
  <si>
    <t xml:space="preserve">9 horas por dia. Eu não tenho falta de tempo</t>
  </si>
  <si>
    <t xml:space="preserve">Mostra o próprio tempo de tela do celular</t>
  </si>
  <si>
    <t xml:space="preserve">Você vai gastar R$ 400 na Bienal. Vamos combinar uma coisa</t>
  </si>
  <si>
    <t xml:space="preserve">Sacola caindo na mesa, escaneia 8 livros, card do haul</t>
  </si>
  <si>
    <t xml:space="preserve">M2</t>
  </si>
  <si>
    <t xml:space="preserve">Você adicionou 7 livros. Terminou zero</t>
  </si>
  <si>
    <t xml:space="preserve">Lista quero ler crescendo, lendo parado</t>
  </si>
  <si>
    <t xml:space="preserve">Lura responde os comentários de vocês</t>
  </si>
  <si>
    <t xml:space="preserve">Série contínua. Gravar 3 de uma vez</t>
  </si>
  <si>
    <t xml:space="preserve">L3</t>
  </si>
  <si>
    <t xml:space="preserve">Odeio recomendação sem explicação</t>
  </si>
  <si>
    <t xml:space="preserve">3 sugestões com o porquê em destaque</t>
  </si>
  <si>
    <t xml:space="preserve">Onde eu anotei aquele trecho mesmo?</t>
  </si>
  <si>
    <t xml:space="preserve">Caderno bagunçado, corta pra nota na página certa</t>
  </si>
  <si>
    <t xml:space="preserve">5 estrelas na loja não me dizem nada</t>
  </si>
  <si>
    <t xml:space="preserve">Resenhas da comunidade com progresso real</t>
  </si>
  <si>
    <t xml:space="preserve">Perdi um streak de 43 dias e passei mal</t>
  </si>
  <si>
    <t xml:space="preserve">História real. Explicar o freeze</t>
  </si>
  <si>
    <t xml:space="preserve">R3</t>
  </si>
  <si>
    <t xml:space="preserve">Um bug nosso apagou a estante de um usuário</t>
  </si>
  <si>
    <t xml:space="preserve">Build in public, honesto</t>
  </si>
  <si>
    <t xml:space="preserve">Variação do haul — versão feriado</t>
  </si>
  <si>
    <t xml:space="preserve">Munição extra pra Bienal</t>
  </si>
  <si>
    <t xml:space="preserve">REFAZER o que performou melhor até aqui</t>
  </si>
  <si>
    <t xml:space="preserve">Vaga reservada</t>
  </si>
  <si>
    <t xml:space="preserve">REFAZER o segundo melhor</t>
  </si>
  <si>
    <t xml:space="preserve">Vídeos planejados</t>
  </si>
  <si>
    <t xml:space="preserve">Gravados</t>
  </si>
  <si>
    <t xml:space="preserve">Lote 1 · sáb 15/08</t>
  </si>
  <si>
    <t xml:space="preserve">Lote 2 · sáb 23/08</t>
  </si>
  <si>
    <t xml:space="preserve">Lote 3 · sáb 29/08</t>
  </si>
  <si>
    <t xml:space="preserve">Carrosséis — prontos e a produzir</t>
  </si>
  <si>
    <t xml:space="preserve">Regra: nunca dois seguidos no mesmo arquétipo. Detalhe em marketing/12-carrosseis.md.</t>
  </si>
  <si>
    <t xml:space="preserve">Título</t>
  </si>
  <si>
    <t xml:space="preserve">Arquétipo</t>
  </si>
  <si>
    <t xml:space="preserve">Slides</t>
  </si>
  <si>
    <t xml:space="preserve">Publicar</t>
  </si>
  <si>
    <t xml:space="preserve">Situação</t>
  </si>
  <si>
    <t xml:space="preserve">Onde está</t>
  </si>
  <si>
    <t xml:space="preserve">2 · Lista</t>
  </si>
  <si>
    <t xml:space="preserve">carrossel-c2-sinais/</t>
  </si>
  <si>
    <t xml:space="preserve">1 · Passo a passo</t>
  </si>
  <si>
    <t xml:space="preserve">carrossel-c6/</t>
  </si>
  <si>
    <t xml:space="preserve">5 · Página arrancada</t>
  </si>
  <si>
    <t xml:space="preserve">carrossel-beta/</t>
  </si>
  <si>
    <t xml:space="preserve">Guia</t>
  </si>
  <si>
    <t xml:space="preserve">carrossel-c1-bienal/</t>
  </si>
  <si>
    <t xml:space="preserve">A PRODUZIR</t>
  </si>
  <si>
    <t xml:space="preserve">4 · Carta</t>
  </si>
  <si>
    <t xml:space="preserve">Quanto custa ler 12 livros por ano no Brasil</t>
  </si>
  <si>
    <t xml:space="preserve">3 · Dado</t>
  </si>
  <si>
    <t xml:space="preserve">C7</t>
  </si>
  <si>
    <t xml:space="preserve">5 formas de voltar a ler depois de um bloqueio</t>
  </si>
  <si>
    <t xml:space="preserve">FILA</t>
  </si>
  <si>
    <t xml:space="preserve">C9</t>
  </si>
  <si>
    <t xml:space="preserve">Match literário: 87% com um estranho</t>
  </si>
  <si>
    <t xml:space="preserve">C10</t>
  </si>
  <si>
    <t xml:space="preserve">A aba 'quero ler' virou lista de presente</t>
  </si>
  <si>
    <t xml:space="preserve">SAZONAL</t>
  </si>
  <si>
    <t xml:space="preserve">Total</t>
  </si>
  <si>
    <t xml:space="preserve">Prontos</t>
  </si>
  <si>
    <t xml:space="preserve">A produzir</t>
  </si>
  <si>
    <t xml:space="preserve">Slides desenhados</t>
  </si>
  <si>
    <t xml:space="preserve">Marcos que não são conteúdo</t>
  </si>
  <si>
    <t xml:space="preserve">Prazos que travam o resto. O de 22/08 é o único fora do controle de vocês.</t>
  </si>
  <si>
    <t xml:space="preserve">Prazo</t>
  </si>
  <si>
    <t xml:space="preserve">O quê</t>
  </si>
  <si>
    <t xml:space="preserve">Por quê</t>
  </si>
  <si>
    <t xml:space="preserve">Risco se falhar</t>
  </si>
  <si>
    <t xml:space="preserve">Congelar identidade visual</t>
  </si>
  <si>
    <t xml:space="preserve">Tudo depois disso depende dela</t>
  </si>
  <si>
    <t xml:space="preserve">Retrabalho em todas as peças</t>
  </si>
  <si>
    <t xml:space="preserve">50 pontos de karma no Reddit</t>
  </si>
  <si>
    <t xml:space="preserve">Requisito para postar em r/Livros</t>
  </si>
  <si>
    <t xml:space="preserve">Não consegue postar dia 19</t>
  </si>
  <si>
    <t xml:space="preserve">Post no r/Livros</t>
  </si>
  <si>
    <t xml:space="preserve">Autorizado pela moderação</t>
  </si>
  <si>
    <t xml:space="preserve">Perde a janela pré-lançamento</t>
  </si>
  <si>
    <t xml:space="preserve">SUBMETER O APP com liberação manual</t>
  </si>
  <si>
    <t xml:space="preserve">Elimina o risco de revisão da Apple</t>
  </si>
  <si>
    <t xml:space="preserve">Rejeição em 29/08 tira vocês da Bienal</t>
  </si>
  <si>
    <t xml:space="preserve">150 a 200 DMs enviadas a creators</t>
  </si>
  <si>
    <t xml:space="preserve">Taxa de resposta de 10-30%</t>
  </si>
  <si>
    <t xml:space="preserve">Sem creators na Bienal</t>
  </si>
  <si>
    <t xml:space="preserve">Marca-páginas impressos</t>
  </si>
  <si>
    <t xml:space="preserve">Distribuição na Bienal e em livrarias</t>
  </si>
  <si>
    <t xml:space="preserve">Sem ativo físico no evento</t>
  </si>
  <si>
    <t xml:space="preserve">30 creators confirmados e briefados</t>
  </si>
  <si>
    <t xml:space="preserve">Eles cobrem os 7 dias sem equipe</t>
  </si>
  <si>
    <t xml:space="preserve">Cobertura só em 2 dos 10 dias</t>
  </si>
  <si>
    <t xml:space="preserve">Apertar o botão nas lojas</t>
  </si>
  <si>
    <t xml:space="preserve">Começar mídia paga: R$ 30/dia por 6 dias</t>
  </si>
  <si>
    <t xml:space="preserve">Concentrado, não diluído</t>
  </si>
  <si>
    <t xml:space="preserve">Verba sem efeito mensurável</t>
  </si>
  <si>
    <t xml:space="preserve">2 pessoas na Bienal</t>
  </si>
  <si>
    <t xml:space="preserve">REFORÇAR EQUIPE — feriado</t>
  </si>
  <si>
    <t xml:space="preserve">Segunda emendada = pico do evento</t>
  </si>
  <si>
    <t xml:space="preserve">Maior janela de público sem ninguém</t>
  </si>
  <si>
    <t xml:space="preserve">4 a 6 pessoas na Bienal</t>
  </si>
  <si>
    <t xml:space="preserve">Sábado</t>
  </si>
  <si>
    <t xml:space="preserve">Publicar o Retrato da Bienal Livra</t>
  </si>
  <si>
    <t xml:space="preserve">Dado inédito rende imprensa</t>
  </si>
  <si>
    <t xml:space="preserve">Perde a janela quente</t>
  </si>
  <si>
    <t xml:space="preserve">Teste de PMF dos 40%</t>
  </si>
  <si>
    <t xml:space="preserve">Depois de ~100 usuários ativos</t>
  </si>
  <si>
    <t xml:space="preserve">Compra mídia sem saber se retém</t>
  </si>
  <si>
    <t xml:space="preserve">Desempenho por peça</t>
  </si>
  <si>
    <t xml:space="preserve">A métrica principal é ENVIOS. Em carrossel, olhe também salvamentos. Linha 5 é exemplo.</t>
  </si>
  <si>
    <t xml:space="preserve">Formato</t>
  </si>
  <si>
    <t xml:space="preserve">Canal</t>
  </si>
  <si>
    <t xml:space="preserve">Views</t>
  </si>
  <si>
    <t xml:space="preserve">Envios</t>
  </si>
  <si>
    <t xml:space="preserve">Salvos</t>
  </si>
  <si>
    <t xml:space="preserve">Comentários</t>
  </si>
  <si>
    <t xml:space="preserve">Cliques</t>
  </si>
  <si>
    <t xml:space="preserve">Envios/mil views</t>
  </si>
  <si>
    <t xml:space="preserve">Dobrar a aposta?</t>
  </si>
  <si>
    <t xml:space="preserve">Instagram</t>
  </si>
  <si>
    <t xml:space="preserve">Totais</t>
  </si>
  <si>
    <t xml:space="preserve">Peças publicadas</t>
  </si>
  <si>
    <t xml:space="preserve">Salvamentos</t>
  </si>
  <si>
    <t xml:space="preserve">Envios/mil views médio</t>
  </si>
  <si>
    <t xml:space="preserve">Views médias de Reels</t>
  </si>
  <si>
    <t xml:space="preserve">Views médias de carrossel</t>
  </si>
  <si>
    <t xml:space="preserve">Regra: a peça que passar de 3x a média de envios vira cinco variações na semana seguinte.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</si>
</sst>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dd/mm"/>
    <numFmt numFmtId="167" formatCode="0.0"/>
    <numFmt numFmtId="168" formatCode="0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7A1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AF1FB"/>
      </patternFill>
    </fill>
    <fill>
      <patternFill patternType="solid">
        <fgColor rgb="FFFFF2CC"/>
        <bgColor rgb="FFFFF0D0"/>
      </patternFill>
    </fill>
    <fill>
      <patternFill patternType="solid">
        <fgColor rgb="FFF2F2F2"/>
        <bgColor rgb="FFEAF1FB"/>
      </patternFill>
    </fill>
    <fill>
      <patternFill patternType="solid">
        <fgColor rgb="FFFFF0D0"/>
        <bgColor rgb="FFFFF2CC"/>
      </patternFill>
    </fill>
    <fill>
      <patternFill patternType="solid">
        <fgColor rgb="FFFFD9D9"/>
        <bgColor rgb="FFFCE4D6"/>
      </patternFill>
    </fill>
    <fill>
      <patternFill patternType="solid">
        <fgColor rgb="FFEAF1FB"/>
        <bgColor rgb="FFF2F2F2"/>
      </patternFill>
    </fill>
    <fill>
      <patternFill patternType="solid">
        <fgColor rgb="FFFCE4D6"/>
        <bgColor rgb="FFFF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FCE4D6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0D0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n">
        <v>46245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6" t="s">
        <v>16</v>
      </c>
      <c r="H5" s="7"/>
      <c r="I5" s="7"/>
    </row>
    <row r="6" customFormat="false" ht="23.85" hidden="false" customHeight="false" outlineLevel="0" collapsed="false">
      <c r="A6" s="8" t="n">
        <v>46246</v>
      </c>
      <c r="B6" s="9" t="s">
        <v>17</v>
      </c>
      <c r="C6" s="9" t="s">
        <v>12</v>
      </c>
      <c r="D6" s="9" t="s">
        <v>18</v>
      </c>
      <c r="E6" s="9" t="s">
        <v>19</v>
      </c>
      <c r="F6" s="10" t="s">
        <v>20</v>
      </c>
      <c r="G6" s="10" t="s">
        <v>21</v>
      </c>
      <c r="H6" s="7"/>
      <c r="I6" s="7"/>
    </row>
    <row r="7" customFormat="false" ht="15" hidden="false" customHeight="false" outlineLevel="0" collapsed="false">
      <c r="A7" s="4" t="n">
        <v>46247</v>
      </c>
      <c r="B7" s="5" t="s">
        <v>22</v>
      </c>
      <c r="C7" s="5" t="s">
        <v>12</v>
      </c>
      <c r="D7" s="5" t="s">
        <v>13</v>
      </c>
      <c r="E7" s="5" t="s">
        <v>23</v>
      </c>
      <c r="F7" s="6" t="s">
        <v>24</v>
      </c>
      <c r="G7" s="6" t="s">
        <v>25</v>
      </c>
      <c r="H7" s="7"/>
      <c r="I7" s="7"/>
    </row>
    <row r="8" customFormat="false" ht="23.85" hidden="false" customHeight="false" outlineLevel="0" collapsed="false">
      <c r="A8" s="11" t="n">
        <v>46248</v>
      </c>
      <c r="B8" s="12" t="s">
        <v>26</v>
      </c>
      <c r="C8" s="12" t="s">
        <v>12</v>
      </c>
      <c r="D8" s="12" t="s">
        <v>27</v>
      </c>
      <c r="E8" s="12" t="s">
        <v>19</v>
      </c>
      <c r="F8" s="13" t="s">
        <v>28</v>
      </c>
      <c r="G8" s="14" t="s">
        <v>29</v>
      </c>
      <c r="H8" s="7"/>
      <c r="I8" s="7"/>
    </row>
    <row r="9" customFormat="false" ht="15" hidden="false" customHeight="false" outlineLevel="0" collapsed="false">
      <c r="A9" s="15" t="n">
        <v>46249</v>
      </c>
      <c r="B9" s="16" t="s">
        <v>30</v>
      </c>
      <c r="C9" s="16" t="s">
        <v>12</v>
      </c>
      <c r="D9" s="16" t="s">
        <v>31</v>
      </c>
      <c r="E9" s="16" t="s">
        <v>32</v>
      </c>
      <c r="F9" s="17" t="s">
        <v>33</v>
      </c>
      <c r="G9" s="18" t="s">
        <v>34</v>
      </c>
      <c r="H9" s="7"/>
      <c r="I9" s="7"/>
    </row>
    <row r="10" customFormat="false" ht="23.85" hidden="false" customHeight="false" outlineLevel="0" collapsed="false">
      <c r="A10" s="19" t="n">
        <v>46250</v>
      </c>
      <c r="B10" s="20" t="s">
        <v>35</v>
      </c>
      <c r="C10" s="20" t="s">
        <v>12</v>
      </c>
      <c r="D10" s="20" t="s">
        <v>36</v>
      </c>
      <c r="E10" s="20" t="s">
        <v>37</v>
      </c>
      <c r="F10" s="21" t="s">
        <v>38</v>
      </c>
      <c r="G10" s="21" t="s">
        <v>39</v>
      </c>
      <c r="H10" s="7"/>
      <c r="I10" s="7"/>
    </row>
    <row r="11" customFormat="false" ht="23.85" hidden="false" customHeight="false" outlineLevel="0" collapsed="false">
      <c r="A11" s="19" t="n">
        <v>46251</v>
      </c>
      <c r="B11" s="20" t="s">
        <v>40</v>
      </c>
      <c r="C11" s="20" t="s">
        <v>12</v>
      </c>
      <c r="D11" s="20" t="s">
        <v>36</v>
      </c>
      <c r="E11" s="20" t="s">
        <v>41</v>
      </c>
      <c r="F11" s="21" t="s">
        <v>42</v>
      </c>
      <c r="G11" s="21" t="s">
        <v>43</v>
      </c>
      <c r="H11" s="7"/>
      <c r="I11" s="7"/>
    </row>
    <row r="12" customFormat="false" ht="15" hidden="false" customHeight="false" outlineLevel="0" collapsed="false">
      <c r="A12" s="19" t="n">
        <v>46252</v>
      </c>
      <c r="B12" s="20" t="s">
        <v>11</v>
      </c>
      <c r="C12" s="20" t="s">
        <v>12</v>
      </c>
      <c r="D12" s="20" t="s">
        <v>36</v>
      </c>
      <c r="E12" s="20" t="s">
        <v>44</v>
      </c>
      <c r="F12" s="21" t="s">
        <v>45</v>
      </c>
      <c r="G12" s="21"/>
      <c r="H12" s="7"/>
      <c r="I12" s="7"/>
    </row>
    <row r="13" customFormat="false" ht="15" hidden="false" customHeight="false" outlineLevel="0" collapsed="false">
      <c r="A13" s="11" t="n">
        <v>46253</v>
      </c>
      <c r="B13" s="12" t="s">
        <v>17</v>
      </c>
      <c r="C13" s="12" t="s">
        <v>12</v>
      </c>
      <c r="D13" s="12" t="s">
        <v>27</v>
      </c>
      <c r="E13" s="12" t="s">
        <v>19</v>
      </c>
      <c r="F13" s="13" t="s">
        <v>46</v>
      </c>
      <c r="G13" s="14" t="s">
        <v>47</v>
      </c>
      <c r="H13" s="7"/>
      <c r="I13" s="7"/>
    </row>
    <row r="14" customFormat="false" ht="15" hidden="false" customHeight="false" outlineLevel="0" collapsed="false">
      <c r="A14" s="4" t="n">
        <v>46254</v>
      </c>
      <c r="B14" s="5" t="s">
        <v>22</v>
      </c>
      <c r="C14" s="5" t="s">
        <v>12</v>
      </c>
      <c r="D14" s="5" t="s">
        <v>13</v>
      </c>
      <c r="E14" s="5" t="s">
        <v>48</v>
      </c>
      <c r="F14" s="6" t="s">
        <v>49</v>
      </c>
      <c r="G14" s="6" t="s">
        <v>50</v>
      </c>
      <c r="H14" s="7"/>
      <c r="I14" s="7"/>
    </row>
    <row r="15" customFormat="false" ht="23.85" hidden="false" customHeight="false" outlineLevel="0" collapsed="false">
      <c r="A15" s="19" t="n">
        <v>46255</v>
      </c>
      <c r="B15" s="20" t="s">
        <v>26</v>
      </c>
      <c r="C15" s="20" t="s">
        <v>12</v>
      </c>
      <c r="D15" s="20" t="s">
        <v>36</v>
      </c>
      <c r="E15" s="20" t="s">
        <v>51</v>
      </c>
      <c r="F15" s="21" t="s">
        <v>52</v>
      </c>
      <c r="G15" s="21"/>
      <c r="H15" s="7"/>
      <c r="I15" s="7"/>
    </row>
    <row r="16" customFormat="false" ht="15" hidden="false" customHeight="false" outlineLevel="0" collapsed="false">
      <c r="A16" s="11" t="n">
        <v>46256</v>
      </c>
      <c r="B16" s="12" t="s">
        <v>30</v>
      </c>
      <c r="C16" s="12" t="s">
        <v>12</v>
      </c>
      <c r="D16" s="12" t="s">
        <v>27</v>
      </c>
      <c r="E16" s="12" t="s">
        <v>19</v>
      </c>
      <c r="F16" s="13" t="s">
        <v>53</v>
      </c>
      <c r="G16" s="14" t="s">
        <v>54</v>
      </c>
      <c r="H16" s="7"/>
      <c r="I16" s="7"/>
    </row>
    <row r="17" customFormat="false" ht="15" hidden="false" customHeight="false" outlineLevel="0" collapsed="false">
      <c r="A17" s="15" t="n">
        <v>46257</v>
      </c>
      <c r="B17" s="16" t="s">
        <v>35</v>
      </c>
      <c r="C17" s="16" t="s">
        <v>12</v>
      </c>
      <c r="D17" s="16" t="s">
        <v>31</v>
      </c>
      <c r="E17" s="16" t="s">
        <v>55</v>
      </c>
      <c r="F17" s="17" t="s">
        <v>33</v>
      </c>
      <c r="G17" s="18" t="s">
        <v>56</v>
      </c>
      <c r="H17" s="7"/>
      <c r="I17" s="7"/>
    </row>
    <row r="18" customFormat="false" ht="15" hidden="false" customHeight="false" outlineLevel="0" collapsed="false">
      <c r="A18" s="19" t="n">
        <v>46258</v>
      </c>
      <c r="B18" s="20" t="s">
        <v>40</v>
      </c>
      <c r="C18" s="20" t="s">
        <v>12</v>
      </c>
      <c r="D18" s="20" t="s">
        <v>36</v>
      </c>
      <c r="E18" s="20" t="s">
        <v>57</v>
      </c>
      <c r="F18" s="21" t="s">
        <v>58</v>
      </c>
      <c r="G18" s="21"/>
      <c r="H18" s="7"/>
      <c r="I18" s="7"/>
    </row>
    <row r="19" customFormat="false" ht="15" hidden="false" customHeight="false" outlineLevel="0" collapsed="false">
      <c r="A19" s="4" t="n">
        <v>46259</v>
      </c>
      <c r="B19" s="5" t="s">
        <v>11</v>
      </c>
      <c r="C19" s="5" t="s">
        <v>12</v>
      </c>
      <c r="D19" s="5" t="s">
        <v>13</v>
      </c>
      <c r="E19" s="5" t="s">
        <v>59</v>
      </c>
      <c r="F19" s="6" t="s">
        <v>60</v>
      </c>
      <c r="G19" s="6" t="s">
        <v>61</v>
      </c>
      <c r="H19" s="7"/>
      <c r="I19" s="7"/>
    </row>
    <row r="20" customFormat="false" ht="23.85" hidden="false" customHeight="false" outlineLevel="0" collapsed="false">
      <c r="A20" s="19" t="n">
        <v>46260</v>
      </c>
      <c r="B20" s="20" t="s">
        <v>17</v>
      </c>
      <c r="C20" s="20" t="s">
        <v>12</v>
      </c>
      <c r="D20" s="20" t="s">
        <v>36</v>
      </c>
      <c r="E20" s="20" t="s">
        <v>62</v>
      </c>
      <c r="F20" s="21" t="s">
        <v>63</v>
      </c>
      <c r="G20" s="21" t="s">
        <v>64</v>
      </c>
      <c r="H20" s="7"/>
      <c r="I20" s="7"/>
    </row>
    <row r="21" customFormat="false" ht="23.85" hidden="false" customHeight="false" outlineLevel="0" collapsed="false">
      <c r="A21" s="4" t="n">
        <v>46261</v>
      </c>
      <c r="B21" s="5" t="s">
        <v>22</v>
      </c>
      <c r="C21" s="5" t="s">
        <v>12</v>
      </c>
      <c r="D21" s="5" t="s">
        <v>13</v>
      </c>
      <c r="E21" s="5" t="s">
        <v>65</v>
      </c>
      <c r="F21" s="6" t="s">
        <v>66</v>
      </c>
      <c r="G21" s="6" t="s">
        <v>67</v>
      </c>
      <c r="H21" s="7"/>
      <c r="I21" s="7"/>
    </row>
    <row r="22" customFormat="false" ht="15" hidden="false" customHeight="false" outlineLevel="0" collapsed="false">
      <c r="A22" s="19" t="n">
        <v>46262</v>
      </c>
      <c r="B22" s="20" t="s">
        <v>26</v>
      </c>
      <c r="C22" s="20" t="s">
        <v>12</v>
      </c>
      <c r="D22" s="20" t="s">
        <v>36</v>
      </c>
      <c r="E22" s="20" t="s">
        <v>68</v>
      </c>
      <c r="F22" s="21" t="s">
        <v>69</v>
      </c>
      <c r="G22" s="21"/>
      <c r="H22" s="7"/>
      <c r="I22" s="7"/>
    </row>
    <row r="23" customFormat="false" ht="15" hidden="false" customHeight="false" outlineLevel="0" collapsed="false">
      <c r="A23" s="15" t="n">
        <v>46263</v>
      </c>
      <c r="B23" s="16" t="s">
        <v>30</v>
      </c>
      <c r="C23" s="16" t="s">
        <v>12</v>
      </c>
      <c r="D23" s="16" t="s">
        <v>31</v>
      </c>
      <c r="E23" s="16" t="s">
        <v>70</v>
      </c>
      <c r="F23" s="17" t="s">
        <v>33</v>
      </c>
      <c r="G23" s="18" t="s">
        <v>71</v>
      </c>
      <c r="H23" s="7"/>
      <c r="I23" s="7"/>
    </row>
    <row r="24" customFormat="false" ht="15" hidden="false" customHeight="false" outlineLevel="0" collapsed="false">
      <c r="A24" s="19" t="n">
        <v>46264</v>
      </c>
      <c r="B24" s="20" t="s">
        <v>35</v>
      </c>
      <c r="C24" s="20" t="s">
        <v>12</v>
      </c>
      <c r="D24" s="20" t="s">
        <v>36</v>
      </c>
      <c r="E24" s="20" t="s">
        <v>72</v>
      </c>
      <c r="F24" s="21" t="s">
        <v>73</v>
      </c>
      <c r="G24" s="21"/>
      <c r="H24" s="7"/>
      <c r="I24" s="7"/>
    </row>
    <row r="25" customFormat="false" ht="15" hidden="false" customHeight="false" outlineLevel="0" collapsed="false">
      <c r="A25" s="19" t="n">
        <v>46265</v>
      </c>
      <c r="B25" s="20" t="s">
        <v>40</v>
      </c>
      <c r="C25" s="20" t="s">
        <v>12</v>
      </c>
      <c r="D25" s="20" t="s">
        <v>36</v>
      </c>
      <c r="E25" s="20" t="s">
        <v>74</v>
      </c>
      <c r="F25" s="21" t="s">
        <v>75</v>
      </c>
      <c r="G25" s="21" t="s">
        <v>76</v>
      </c>
      <c r="H25" s="7"/>
      <c r="I25" s="7"/>
    </row>
    <row r="26" customFormat="false" ht="23.85" hidden="false" customHeight="false" outlineLevel="0" collapsed="false">
      <c r="A26" s="11" t="n">
        <v>46266</v>
      </c>
      <c r="B26" s="12" t="s">
        <v>11</v>
      </c>
      <c r="C26" s="12" t="s">
        <v>77</v>
      </c>
      <c r="D26" s="12" t="s">
        <v>27</v>
      </c>
      <c r="E26" s="12" t="s">
        <v>19</v>
      </c>
      <c r="F26" s="13" t="s">
        <v>78</v>
      </c>
      <c r="G26" s="14" t="s">
        <v>79</v>
      </c>
      <c r="H26" s="7"/>
      <c r="I26" s="7"/>
    </row>
    <row r="27" customFormat="false" ht="23.85" hidden="false" customHeight="false" outlineLevel="0" collapsed="false">
      <c r="A27" s="19" t="n">
        <v>46267</v>
      </c>
      <c r="B27" s="20" t="s">
        <v>17</v>
      </c>
      <c r="C27" s="20" t="s">
        <v>77</v>
      </c>
      <c r="D27" s="20" t="s">
        <v>36</v>
      </c>
      <c r="E27" s="20" t="s">
        <v>80</v>
      </c>
      <c r="F27" s="21" t="s">
        <v>81</v>
      </c>
      <c r="G27" s="21"/>
      <c r="H27" s="7"/>
      <c r="I27" s="7"/>
    </row>
    <row r="28" customFormat="false" ht="15" hidden="false" customHeight="false" outlineLevel="0" collapsed="false">
      <c r="A28" s="4" t="n">
        <v>46268</v>
      </c>
      <c r="B28" s="5" t="s">
        <v>22</v>
      </c>
      <c r="C28" s="5" t="s">
        <v>77</v>
      </c>
      <c r="D28" s="5" t="s">
        <v>13</v>
      </c>
      <c r="E28" s="5" t="s">
        <v>82</v>
      </c>
      <c r="F28" s="6" t="s">
        <v>83</v>
      </c>
      <c r="G28" s="6" t="s">
        <v>84</v>
      </c>
      <c r="H28" s="7"/>
      <c r="I28" s="7"/>
    </row>
    <row r="29" customFormat="false" ht="15" hidden="false" customHeight="false" outlineLevel="0" collapsed="false">
      <c r="A29" s="22" t="n">
        <v>46269</v>
      </c>
      <c r="B29" s="23" t="s">
        <v>26</v>
      </c>
      <c r="C29" s="23" t="s">
        <v>85</v>
      </c>
      <c r="D29" s="23" t="s">
        <v>36</v>
      </c>
      <c r="E29" s="23" t="s">
        <v>86</v>
      </c>
      <c r="F29" s="24" t="s">
        <v>87</v>
      </c>
      <c r="G29" s="25" t="s">
        <v>88</v>
      </c>
      <c r="H29" s="7"/>
      <c r="I29" s="7"/>
    </row>
    <row r="30" customFormat="false" ht="15" hidden="false" customHeight="false" outlineLevel="0" collapsed="false">
      <c r="A30" s="22" t="n">
        <v>46270</v>
      </c>
      <c r="B30" s="23" t="s">
        <v>30</v>
      </c>
      <c r="C30" s="23" t="s">
        <v>85</v>
      </c>
      <c r="D30" s="23" t="s">
        <v>36</v>
      </c>
      <c r="E30" s="23" t="s">
        <v>19</v>
      </c>
      <c r="F30" s="25" t="s">
        <v>89</v>
      </c>
      <c r="G30" s="25" t="s">
        <v>90</v>
      </c>
      <c r="H30" s="7"/>
      <c r="I30" s="7"/>
    </row>
    <row r="31" customFormat="false" ht="15" hidden="false" customHeight="false" outlineLevel="0" collapsed="false">
      <c r="A31" s="22" t="n">
        <v>46271</v>
      </c>
      <c r="B31" s="23" t="s">
        <v>35</v>
      </c>
      <c r="C31" s="23" t="s">
        <v>85</v>
      </c>
      <c r="D31" s="23" t="s">
        <v>36</v>
      </c>
      <c r="E31" s="23" t="s">
        <v>19</v>
      </c>
      <c r="F31" s="25" t="s">
        <v>91</v>
      </c>
      <c r="G31" s="25" t="s">
        <v>92</v>
      </c>
      <c r="H31" s="7"/>
      <c r="I31" s="7"/>
    </row>
    <row r="32" customFormat="false" ht="15" hidden="false" customHeight="false" outlineLevel="0" collapsed="false">
      <c r="A32" s="22" t="n">
        <v>46272</v>
      </c>
      <c r="B32" s="23" t="s">
        <v>40</v>
      </c>
      <c r="C32" s="23" t="s">
        <v>85</v>
      </c>
      <c r="D32" s="23" t="s">
        <v>36</v>
      </c>
      <c r="E32" s="23" t="s">
        <v>93</v>
      </c>
      <c r="F32" s="24" t="s">
        <v>94</v>
      </c>
      <c r="G32" s="25" t="s">
        <v>95</v>
      </c>
      <c r="H32" s="7"/>
      <c r="I32" s="7"/>
    </row>
    <row r="33" customFormat="false" ht="23.85" hidden="false" customHeight="false" outlineLevel="0" collapsed="false">
      <c r="A33" s="22" t="n">
        <v>46273</v>
      </c>
      <c r="B33" s="23" t="s">
        <v>11</v>
      </c>
      <c r="C33" s="23" t="s">
        <v>85</v>
      </c>
      <c r="D33" s="23" t="s">
        <v>36</v>
      </c>
      <c r="E33" s="23" t="s">
        <v>96</v>
      </c>
      <c r="F33" s="25" t="s">
        <v>97</v>
      </c>
      <c r="G33" s="25"/>
      <c r="H33" s="7"/>
      <c r="I33" s="7"/>
    </row>
    <row r="34" customFormat="false" ht="15" hidden="false" customHeight="false" outlineLevel="0" collapsed="false">
      <c r="A34" s="22" t="n">
        <v>46274</v>
      </c>
      <c r="B34" s="23" t="s">
        <v>17</v>
      </c>
      <c r="C34" s="23" t="s">
        <v>85</v>
      </c>
      <c r="D34" s="23" t="s">
        <v>13</v>
      </c>
      <c r="E34" s="23" t="s">
        <v>98</v>
      </c>
      <c r="F34" s="25" t="s">
        <v>99</v>
      </c>
      <c r="G34" s="25" t="s">
        <v>100</v>
      </c>
      <c r="H34" s="7"/>
      <c r="I34" s="7"/>
    </row>
    <row r="35" customFormat="false" ht="15" hidden="false" customHeight="false" outlineLevel="0" collapsed="false">
      <c r="A35" s="22" t="n">
        <v>46275</v>
      </c>
      <c r="B35" s="23" t="s">
        <v>22</v>
      </c>
      <c r="C35" s="23" t="s">
        <v>85</v>
      </c>
      <c r="D35" s="23" t="s">
        <v>36</v>
      </c>
      <c r="E35" s="23" t="s">
        <v>101</v>
      </c>
      <c r="F35" s="25" t="s">
        <v>102</v>
      </c>
      <c r="G35" s="25"/>
      <c r="H35" s="7"/>
      <c r="I35" s="7"/>
    </row>
    <row r="36" customFormat="false" ht="15" hidden="false" customHeight="false" outlineLevel="0" collapsed="false">
      <c r="A36" s="22" t="n">
        <v>46276</v>
      </c>
      <c r="B36" s="23" t="s">
        <v>26</v>
      </c>
      <c r="C36" s="23" t="s">
        <v>85</v>
      </c>
      <c r="D36" s="23" t="s">
        <v>36</v>
      </c>
      <c r="E36" s="23" t="s">
        <v>103</v>
      </c>
      <c r="F36" s="25" t="s">
        <v>104</v>
      </c>
      <c r="G36" s="25"/>
      <c r="H36" s="7"/>
      <c r="I36" s="7"/>
    </row>
    <row r="37" customFormat="false" ht="23.85" hidden="false" customHeight="false" outlineLevel="0" collapsed="false">
      <c r="A37" s="22" t="n">
        <v>46277</v>
      </c>
      <c r="B37" s="23" t="s">
        <v>30</v>
      </c>
      <c r="C37" s="23" t="s">
        <v>85</v>
      </c>
      <c r="D37" s="23" t="s">
        <v>36</v>
      </c>
      <c r="E37" s="23" t="s">
        <v>19</v>
      </c>
      <c r="F37" s="25" t="s">
        <v>105</v>
      </c>
      <c r="G37" s="25" t="s">
        <v>106</v>
      </c>
      <c r="H37" s="7"/>
      <c r="I37" s="7"/>
    </row>
    <row r="38" customFormat="false" ht="15" hidden="false" customHeight="false" outlineLevel="0" collapsed="false">
      <c r="A38" s="22" t="n">
        <v>46278</v>
      </c>
      <c r="B38" s="23" t="s">
        <v>35</v>
      </c>
      <c r="C38" s="23" t="s">
        <v>85</v>
      </c>
      <c r="D38" s="23" t="s">
        <v>36</v>
      </c>
      <c r="E38" s="23" t="s">
        <v>19</v>
      </c>
      <c r="F38" s="25" t="s">
        <v>107</v>
      </c>
      <c r="G38" s="25"/>
      <c r="H38" s="7"/>
      <c r="I38" s="7"/>
    </row>
    <row r="39" customFormat="false" ht="15" hidden="false" customHeight="false" outlineLevel="0" collapsed="false">
      <c r="A39" s="19" t="n">
        <v>46279</v>
      </c>
      <c r="B39" s="20" t="s">
        <v>40</v>
      </c>
      <c r="C39" s="20" t="s">
        <v>108</v>
      </c>
      <c r="D39" s="20" t="s">
        <v>36</v>
      </c>
      <c r="E39" s="20" t="s">
        <v>109</v>
      </c>
      <c r="F39" s="21" t="s">
        <v>110</v>
      </c>
      <c r="G39" s="21" t="s">
        <v>111</v>
      </c>
      <c r="H39" s="7"/>
      <c r="I39" s="7"/>
    </row>
    <row r="40" customFormat="false" ht="15" hidden="false" customHeight="false" outlineLevel="0" collapsed="false">
      <c r="A40" s="11" t="n">
        <v>46280</v>
      </c>
      <c r="B40" s="12" t="s">
        <v>11</v>
      </c>
      <c r="C40" s="12" t="s">
        <v>108</v>
      </c>
      <c r="D40" s="12" t="s">
        <v>27</v>
      </c>
      <c r="E40" s="12" t="s">
        <v>19</v>
      </c>
      <c r="F40" s="13" t="s">
        <v>112</v>
      </c>
      <c r="G40" s="14" t="s">
        <v>113</v>
      </c>
      <c r="H40" s="7"/>
      <c r="I40" s="7"/>
    </row>
    <row r="41" customFormat="false" ht="15" hidden="false" customHeight="false" outlineLevel="0" collapsed="false">
      <c r="A41" s="19" t="n">
        <v>46281</v>
      </c>
      <c r="B41" s="20" t="s">
        <v>17</v>
      </c>
      <c r="C41" s="20" t="s">
        <v>108</v>
      </c>
      <c r="D41" s="20" t="s">
        <v>36</v>
      </c>
      <c r="E41" s="20" t="s">
        <v>114</v>
      </c>
      <c r="F41" s="21" t="s">
        <v>115</v>
      </c>
      <c r="G41" s="21"/>
      <c r="H41" s="7"/>
      <c r="I41" s="7"/>
    </row>
    <row r="42" customFormat="false" ht="15" hidden="false" customHeight="false" outlineLevel="0" collapsed="false">
      <c r="A42" s="4" t="n">
        <v>46282</v>
      </c>
      <c r="B42" s="5" t="s">
        <v>22</v>
      </c>
      <c r="C42" s="5" t="s">
        <v>108</v>
      </c>
      <c r="D42" s="5" t="s">
        <v>13</v>
      </c>
      <c r="E42" s="5" t="s">
        <v>116</v>
      </c>
      <c r="F42" s="6" t="s">
        <v>117</v>
      </c>
      <c r="G42" s="6" t="s">
        <v>100</v>
      </c>
      <c r="H42" s="7"/>
      <c r="I42" s="7"/>
    </row>
    <row r="43" customFormat="false" ht="15" hidden="false" customHeight="false" outlineLevel="0" collapsed="false">
      <c r="A43" s="19" t="n">
        <v>46283</v>
      </c>
      <c r="B43" s="20" t="s">
        <v>26</v>
      </c>
      <c r="C43" s="20" t="s">
        <v>108</v>
      </c>
      <c r="D43" s="20" t="s">
        <v>36</v>
      </c>
      <c r="E43" s="20" t="s">
        <v>118</v>
      </c>
      <c r="F43" s="21" t="s">
        <v>119</v>
      </c>
      <c r="G43" s="21"/>
      <c r="H43" s="7"/>
      <c r="I43" s="7"/>
    </row>
    <row r="44" customFormat="false" ht="15" hidden="false" customHeight="false" outlineLevel="0" collapsed="false">
      <c r="A44" s="19" t="n">
        <v>46285</v>
      </c>
      <c r="B44" s="20" t="s">
        <v>35</v>
      </c>
      <c r="C44" s="20" t="s">
        <v>108</v>
      </c>
      <c r="D44" s="20" t="s">
        <v>36</v>
      </c>
      <c r="E44" s="20" t="s">
        <v>120</v>
      </c>
      <c r="F44" s="21" t="s">
        <v>121</v>
      </c>
      <c r="G44" s="21" t="s">
        <v>122</v>
      </c>
      <c r="H44" s="7"/>
      <c r="I44" s="7"/>
    </row>
    <row r="46" customFormat="false" ht="15" hidden="false" customHeight="false" outlineLevel="0" collapsed="false">
      <c r="A46" s="26" t="s">
        <v>123</v>
      </c>
    </row>
    <row r="47" customFormat="false" ht="15" hidden="false" customHeight="false" outlineLevel="0" collapsed="false">
      <c r="A47" s="27" t="s">
        <v>124</v>
      </c>
      <c r="C47" s="26" t="n">
        <f aca="false">COUNTIF(D5:D44,"Reels")+COUNTIF(D5:D44,"Carrossel")</f>
        <v>31</v>
      </c>
    </row>
    <row r="48" customFormat="false" ht="15" hidden="false" customHeight="false" outlineLevel="0" collapsed="false">
      <c r="A48" s="27" t="s">
        <v>36</v>
      </c>
      <c r="C48" s="26" t="n">
        <f aca="false">COUNTIF(D5:D44,"Reels")</f>
        <v>23</v>
      </c>
    </row>
    <row r="49" customFormat="false" ht="15" hidden="false" customHeight="false" outlineLevel="0" collapsed="false">
      <c r="A49" s="27" t="s">
        <v>125</v>
      </c>
      <c r="C49" s="26" t="n">
        <f aca="false">COUNTIF(D5:D44,"Carrossel")</f>
        <v>8</v>
      </c>
    </row>
    <row r="50" customFormat="false" ht="15" hidden="false" customHeight="false" outlineLevel="0" collapsed="false">
      <c r="A50" s="27" t="s">
        <v>126</v>
      </c>
      <c r="C50" s="26" t="n">
        <f aca="false">COUNTIF(D5:D44,"Gravação")</f>
        <v>3</v>
      </c>
    </row>
    <row r="51" customFormat="false" ht="15" hidden="false" customHeight="false" outlineLevel="0" collapsed="false">
      <c r="A51" s="27" t="s">
        <v>127</v>
      </c>
      <c r="C51" s="26" t="n">
        <f aca="false">COUNTIF(D5:D44,"Marco")</f>
        <v>5</v>
      </c>
    </row>
    <row r="52" customFormat="false" ht="15" hidden="false" customHeight="false" outlineLevel="0" collapsed="false">
      <c r="A52" s="27" t="s">
        <v>128</v>
      </c>
      <c r="C52" s="26" t="n">
        <f aca="false">COUNTIF(H5:H44,"Publicado")</f>
        <v>0</v>
      </c>
    </row>
    <row r="54" customFormat="false" ht="15" hidden="false" customHeight="false" outlineLevel="0" collapsed="false">
      <c r="A54" s="28" t="s">
        <v>129</v>
      </c>
    </row>
    <row r="55" customFormat="false" ht="15" hidden="false" customHeight="false" outlineLevel="0" collapsed="false">
      <c r="A55" s="28" t="s">
        <v>130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132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133</v>
      </c>
      <c r="B4" s="3" t="s">
        <v>2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9</v>
      </c>
    </row>
    <row r="5" customFormat="false" ht="23.85" hidden="false" customHeight="false" outlineLevel="0" collapsed="false">
      <c r="A5" s="29" t="n">
        <v>1</v>
      </c>
      <c r="B5" s="30" t="n">
        <v>46249</v>
      </c>
      <c r="C5" s="31" t="s">
        <v>41</v>
      </c>
      <c r="D5" s="29" t="s">
        <v>138</v>
      </c>
      <c r="E5" s="32" t="s">
        <v>139</v>
      </c>
      <c r="F5" s="32" t="s">
        <v>140</v>
      </c>
      <c r="G5" s="7"/>
    </row>
    <row r="6" customFormat="false" ht="23.85" hidden="false" customHeight="false" outlineLevel="0" collapsed="false">
      <c r="A6" s="29" t="n">
        <v>1</v>
      </c>
      <c r="B6" s="30" t="n">
        <v>46249</v>
      </c>
      <c r="C6" s="31" t="s">
        <v>44</v>
      </c>
      <c r="D6" s="29" t="s">
        <v>138</v>
      </c>
      <c r="E6" s="32" t="s">
        <v>141</v>
      </c>
      <c r="F6" s="32" t="s">
        <v>142</v>
      </c>
      <c r="G6" s="7"/>
    </row>
    <row r="7" customFormat="false" ht="23.85" hidden="false" customHeight="false" outlineLevel="0" collapsed="false">
      <c r="A7" s="29" t="n">
        <v>1</v>
      </c>
      <c r="B7" s="30" t="n">
        <v>46249</v>
      </c>
      <c r="C7" s="31" t="s">
        <v>74</v>
      </c>
      <c r="D7" s="29" t="s">
        <v>138</v>
      </c>
      <c r="E7" s="32" t="s">
        <v>143</v>
      </c>
      <c r="F7" s="32" t="s">
        <v>144</v>
      </c>
      <c r="G7" s="7"/>
    </row>
    <row r="8" customFormat="false" ht="15" hidden="false" customHeight="false" outlineLevel="0" collapsed="false">
      <c r="A8" s="29" t="n">
        <v>1</v>
      </c>
      <c r="B8" s="30" t="n">
        <v>46249</v>
      </c>
      <c r="C8" s="31" t="s">
        <v>57</v>
      </c>
      <c r="D8" s="29" t="s">
        <v>138</v>
      </c>
      <c r="E8" s="32" t="s">
        <v>58</v>
      </c>
      <c r="F8" s="32" t="s">
        <v>145</v>
      </c>
      <c r="G8" s="7"/>
    </row>
    <row r="9" customFormat="false" ht="15" hidden="false" customHeight="false" outlineLevel="0" collapsed="false">
      <c r="A9" s="29" t="n">
        <v>1</v>
      </c>
      <c r="B9" s="30" t="n">
        <v>46249</v>
      </c>
      <c r="C9" s="31" t="s">
        <v>72</v>
      </c>
      <c r="D9" s="29" t="s">
        <v>138</v>
      </c>
      <c r="E9" s="32" t="s">
        <v>146</v>
      </c>
      <c r="F9" s="32" t="s">
        <v>147</v>
      </c>
      <c r="G9" s="7"/>
    </row>
    <row r="10" customFormat="false" ht="23.85" hidden="false" customHeight="false" outlineLevel="0" collapsed="false">
      <c r="A10" s="29" t="n">
        <v>1</v>
      </c>
      <c r="B10" s="30" t="n">
        <v>46249</v>
      </c>
      <c r="C10" s="31" t="s">
        <v>148</v>
      </c>
      <c r="D10" s="29" t="s">
        <v>138</v>
      </c>
      <c r="E10" s="32" t="s">
        <v>149</v>
      </c>
      <c r="F10" s="32" t="s">
        <v>150</v>
      </c>
      <c r="G10" s="7"/>
    </row>
    <row r="11" customFormat="false" ht="15" hidden="false" customHeight="false" outlineLevel="0" collapsed="false">
      <c r="A11" s="29" t="n">
        <v>1</v>
      </c>
      <c r="B11" s="30" t="n">
        <v>46249</v>
      </c>
      <c r="C11" s="31" t="s">
        <v>37</v>
      </c>
      <c r="D11" s="29" t="s">
        <v>151</v>
      </c>
      <c r="E11" s="32" t="s">
        <v>38</v>
      </c>
      <c r="F11" s="32" t="s">
        <v>152</v>
      </c>
      <c r="G11" s="7"/>
    </row>
    <row r="12" customFormat="false" ht="15" hidden="false" customHeight="false" outlineLevel="0" collapsed="false">
      <c r="A12" s="29" t="n">
        <v>1</v>
      </c>
      <c r="B12" s="30" t="n">
        <v>46249</v>
      </c>
      <c r="C12" s="31" t="s">
        <v>51</v>
      </c>
      <c r="D12" s="29" t="s">
        <v>151</v>
      </c>
      <c r="E12" s="32" t="s">
        <v>52</v>
      </c>
      <c r="F12" s="32" t="s">
        <v>153</v>
      </c>
      <c r="G12" s="7"/>
    </row>
    <row r="13" customFormat="false" ht="15" hidden="false" customHeight="false" outlineLevel="0" collapsed="false">
      <c r="A13" s="29" t="n">
        <v>1</v>
      </c>
      <c r="B13" s="30" t="n">
        <v>46249</v>
      </c>
      <c r="C13" s="31" t="s">
        <v>154</v>
      </c>
      <c r="D13" s="29" t="s">
        <v>138</v>
      </c>
      <c r="E13" s="32" t="s">
        <v>155</v>
      </c>
      <c r="F13" s="32" t="s">
        <v>156</v>
      </c>
      <c r="G13" s="7"/>
    </row>
    <row r="14" customFormat="false" ht="15" hidden="false" customHeight="false" outlineLevel="0" collapsed="false">
      <c r="A14" s="29" t="n">
        <v>1</v>
      </c>
      <c r="B14" s="30" t="n">
        <v>46249</v>
      </c>
      <c r="C14" s="31" t="s">
        <v>157</v>
      </c>
      <c r="D14" s="29" t="s">
        <v>138</v>
      </c>
      <c r="E14" s="32" t="s">
        <v>158</v>
      </c>
      <c r="F14" s="32" t="s">
        <v>159</v>
      </c>
      <c r="G14" s="7"/>
    </row>
    <row r="15" customFormat="false" ht="23.85" hidden="false" customHeight="false" outlineLevel="0" collapsed="false">
      <c r="A15" s="29" t="n">
        <v>2</v>
      </c>
      <c r="B15" s="30" t="n">
        <v>46257</v>
      </c>
      <c r="C15" s="31" t="s">
        <v>62</v>
      </c>
      <c r="D15" s="29" t="s">
        <v>138</v>
      </c>
      <c r="E15" s="32" t="s">
        <v>160</v>
      </c>
      <c r="F15" s="32" t="s">
        <v>161</v>
      </c>
      <c r="G15" s="7"/>
    </row>
    <row r="16" customFormat="false" ht="23.85" hidden="false" customHeight="false" outlineLevel="0" collapsed="false">
      <c r="A16" s="29" t="n">
        <v>2</v>
      </c>
      <c r="B16" s="30" t="n">
        <v>46257</v>
      </c>
      <c r="C16" s="31" t="s">
        <v>101</v>
      </c>
      <c r="D16" s="29" t="s">
        <v>138</v>
      </c>
      <c r="E16" s="32" t="s">
        <v>162</v>
      </c>
      <c r="F16" s="32" t="s">
        <v>163</v>
      </c>
      <c r="G16" s="7"/>
    </row>
    <row r="17" customFormat="false" ht="23.85" hidden="false" customHeight="false" outlineLevel="0" collapsed="false">
      <c r="A17" s="29" t="n">
        <v>2</v>
      </c>
      <c r="B17" s="30" t="n">
        <v>46257</v>
      </c>
      <c r="C17" s="31" t="s">
        <v>164</v>
      </c>
      <c r="D17" s="29" t="s">
        <v>138</v>
      </c>
      <c r="E17" s="32" t="s">
        <v>165</v>
      </c>
      <c r="F17" s="32" t="s">
        <v>166</v>
      </c>
      <c r="G17" s="7"/>
    </row>
    <row r="18" customFormat="false" ht="23.85" hidden="false" customHeight="false" outlineLevel="0" collapsed="false">
      <c r="A18" s="29" t="n">
        <v>2</v>
      </c>
      <c r="B18" s="30" t="n">
        <v>46257</v>
      </c>
      <c r="C18" s="31" t="s">
        <v>103</v>
      </c>
      <c r="D18" s="29" t="s">
        <v>138</v>
      </c>
      <c r="E18" s="32" t="s">
        <v>167</v>
      </c>
      <c r="F18" s="32" t="s">
        <v>168</v>
      </c>
      <c r="G18" s="7"/>
    </row>
    <row r="19" customFormat="false" ht="15" hidden="false" customHeight="false" outlineLevel="0" collapsed="false">
      <c r="A19" s="29" t="n">
        <v>2</v>
      </c>
      <c r="B19" s="30" t="n">
        <v>46257</v>
      </c>
      <c r="C19" s="31" t="s">
        <v>169</v>
      </c>
      <c r="D19" s="29" t="s">
        <v>138</v>
      </c>
      <c r="E19" s="32" t="s">
        <v>170</v>
      </c>
      <c r="F19" s="32" t="s">
        <v>171</v>
      </c>
      <c r="G19" s="7"/>
    </row>
    <row r="20" customFormat="false" ht="15" hidden="false" customHeight="false" outlineLevel="0" collapsed="false">
      <c r="A20" s="29" t="n">
        <v>2</v>
      </c>
      <c r="B20" s="30" t="n">
        <v>46257</v>
      </c>
      <c r="C20" s="31" t="s">
        <v>59</v>
      </c>
      <c r="D20" s="29" t="s">
        <v>138</v>
      </c>
      <c r="E20" s="32" t="s">
        <v>172</v>
      </c>
      <c r="F20" s="32" t="s">
        <v>173</v>
      </c>
      <c r="G20" s="7"/>
    </row>
    <row r="21" customFormat="false" ht="23.85" hidden="false" customHeight="false" outlineLevel="0" collapsed="false">
      <c r="A21" s="29" t="n">
        <v>2</v>
      </c>
      <c r="B21" s="30" t="n">
        <v>46257</v>
      </c>
      <c r="C21" s="31" t="s">
        <v>68</v>
      </c>
      <c r="D21" s="29" t="s">
        <v>174</v>
      </c>
      <c r="E21" s="32" t="s">
        <v>175</v>
      </c>
      <c r="F21" s="32" t="s">
        <v>176</v>
      </c>
      <c r="G21" s="7"/>
    </row>
    <row r="22" customFormat="false" ht="15" hidden="false" customHeight="false" outlineLevel="0" collapsed="false">
      <c r="A22" s="29" t="n">
        <v>2</v>
      </c>
      <c r="B22" s="30" t="n">
        <v>46257</v>
      </c>
      <c r="C22" s="31" t="s">
        <v>177</v>
      </c>
      <c r="D22" s="29" t="s">
        <v>151</v>
      </c>
      <c r="E22" s="32" t="s">
        <v>178</v>
      </c>
      <c r="F22" s="32" t="s">
        <v>179</v>
      </c>
      <c r="G22" s="7"/>
    </row>
    <row r="23" customFormat="false" ht="15" hidden="false" customHeight="false" outlineLevel="0" collapsed="false">
      <c r="A23" s="29" t="n">
        <v>2</v>
      </c>
      <c r="B23" s="30" t="n">
        <v>46257</v>
      </c>
      <c r="C23" s="31" t="s">
        <v>96</v>
      </c>
      <c r="D23" s="29" t="s">
        <v>151</v>
      </c>
      <c r="E23" s="32" t="s">
        <v>180</v>
      </c>
      <c r="F23" s="32" t="s">
        <v>181</v>
      </c>
      <c r="G23" s="7"/>
    </row>
    <row r="24" customFormat="false" ht="23.85" hidden="false" customHeight="false" outlineLevel="0" collapsed="false">
      <c r="A24" s="29" t="n">
        <v>2</v>
      </c>
      <c r="B24" s="30" t="n">
        <v>46257</v>
      </c>
      <c r="C24" s="31" t="s">
        <v>86</v>
      </c>
      <c r="D24" s="29" t="s">
        <v>138</v>
      </c>
      <c r="E24" s="32" t="s">
        <v>182</v>
      </c>
      <c r="F24" s="32" t="s">
        <v>183</v>
      </c>
      <c r="G24" s="7"/>
    </row>
    <row r="25" customFormat="false" ht="15" hidden="false" customHeight="false" outlineLevel="0" collapsed="false">
      <c r="A25" s="29" t="n">
        <v>3</v>
      </c>
      <c r="B25" s="30" t="n">
        <v>46263</v>
      </c>
      <c r="C25" s="31" t="s">
        <v>184</v>
      </c>
      <c r="D25" s="29" t="s">
        <v>174</v>
      </c>
      <c r="E25" s="32" t="s">
        <v>185</v>
      </c>
      <c r="F25" s="32" t="s">
        <v>186</v>
      </c>
      <c r="G25" s="7"/>
    </row>
    <row r="26" customFormat="false" ht="15" hidden="false" customHeight="false" outlineLevel="0" collapsed="false">
      <c r="A26" s="29" t="n">
        <v>3</v>
      </c>
      <c r="B26" s="30" t="n">
        <v>46263</v>
      </c>
      <c r="C26" s="31" t="s">
        <v>114</v>
      </c>
      <c r="D26" s="29" t="s">
        <v>174</v>
      </c>
      <c r="E26" s="32" t="s">
        <v>187</v>
      </c>
      <c r="F26" s="32" t="s">
        <v>188</v>
      </c>
      <c r="G26" s="7"/>
    </row>
    <row r="27" customFormat="false" ht="15" hidden="false" customHeight="false" outlineLevel="0" collapsed="false">
      <c r="A27" s="29" t="n">
        <v>3</v>
      </c>
      <c r="B27" s="30" t="n">
        <v>46263</v>
      </c>
      <c r="C27" s="31" t="s">
        <v>189</v>
      </c>
      <c r="D27" s="29" t="s">
        <v>138</v>
      </c>
      <c r="E27" s="32" t="s">
        <v>190</v>
      </c>
      <c r="F27" s="32" t="s">
        <v>191</v>
      </c>
      <c r="G27" s="7"/>
    </row>
    <row r="28" customFormat="false" ht="23.85" hidden="false" customHeight="false" outlineLevel="0" collapsed="false">
      <c r="A28" s="29" t="n">
        <v>3</v>
      </c>
      <c r="B28" s="30" t="n">
        <v>46263</v>
      </c>
      <c r="C28" s="31" t="s">
        <v>14</v>
      </c>
      <c r="D28" s="29" t="s">
        <v>138</v>
      </c>
      <c r="E28" s="32" t="s">
        <v>192</v>
      </c>
      <c r="F28" s="32" t="s">
        <v>193</v>
      </c>
      <c r="G28" s="7"/>
    </row>
    <row r="29" customFormat="false" ht="15" hidden="false" customHeight="false" outlineLevel="0" collapsed="false">
      <c r="A29" s="29" t="n">
        <v>3</v>
      </c>
      <c r="B29" s="30" t="n">
        <v>46263</v>
      </c>
      <c r="C29" s="31" t="s">
        <v>116</v>
      </c>
      <c r="D29" s="29" t="s">
        <v>138</v>
      </c>
      <c r="E29" s="32" t="s">
        <v>194</v>
      </c>
      <c r="F29" s="32" t="s">
        <v>195</v>
      </c>
      <c r="G29" s="7"/>
    </row>
    <row r="30" customFormat="false" ht="15" hidden="false" customHeight="false" outlineLevel="0" collapsed="false">
      <c r="A30" s="29" t="n">
        <v>3</v>
      </c>
      <c r="B30" s="30" t="n">
        <v>46263</v>
      </c>
      <c r="C30" s="31" t="s">
        <v>118</v>
      </c>
      <c r="D30" s="29" t="s">
        <v>151</v>
      </c>
      <c r="E30" s="32" t="s">
        <v>196</v>
      </c>
      <c r="F30" s="32" t="s">
        <v>197</v>
      </c>
      <c r="G30" s="7"/>
    </row>
    <row r="31" customFormat="false" ht="15" hidden="false" customHeight="false" outlineLevel="0" collapsed="false">
      <c r="A31" s="29" t="n">
        <v>3</v>
      </c>
      <c r="B31" s="30" t="n">
        <v>46263</v>
      </c>
      <c r="C31" s="31" t="s">
        <v>198</v>
      </c>
      <c r="D31" s="29" t="s">
        <v>151</v>
      </c>
      <c r="E31" s="32" t="s">
        <v>199</v>
      </c>
      <c r="F31" s="32" t="s">
        <v>200</v>
      </c>
      <c r="G31" s="7"/>
    </row>
    <row r="32" customFormat="false" ht="15" hidden="false" customHeight="false" outlineLevel="0" collapsed="false">
      <c r="A32" s="29" t="n">
        <v>3</v>
      </c>
      <c r="B32" s="30" t="n">
        <v>46263</v>
      </c>
      <c r="C32" s="31" t="s">
        <v>93</v>
      </c>
      <c r="D32" s="29" t="s">
        <v>138</v>
      </c>
      <c r="E32" s="32" t="s">
        <v>201</v>
      </c>
      <c r="F32" s="32" t="s">
        <v>202</v>
      </c>
      <c r="G32" s="7"/>
    </row>
    <row r="33" customFormat="false" ht="15" hidden="false" customHeight="false" outlineLevel="0" collapsed="false">
      <c r="A33" s="29" t="n">
        <v>3</v>
      </c>
      <c r="B33" s="30" t="n">
        <v>46263</v>
      </c>
      <c r="C33" s="31" t="s">
        <v>19</v>
      </c>
      <c r="D33" s="29" t="s">
        <v>138</v>
      </c>
      <c r="E33" s="32" t="s">
        <v>203</v>
      </c>
      <c r="F33" s="32" t="s">
        <v>204</v>
      </c>
      <c r="G33" s="7"/>
    </row>
    <row r="34" customFormat="false" ht="15" hidden="false" customHeight="false" outlineLevel="0" collapsed="false">
      <c r="A34" s="29" t="n">
        <v>3</v>
      </c>
      <c r="B34" s="30" t="n">
        <v>46263</v>
      </c>
      <c r="C34" s="31" t="s">
        <v>19</v>
      </c>
      <c r="D34" s="29" t="s">
        <v>138</v>
      </c>
      <c r="E34" s="32" t="s">
        <v>205</v>
      </c>
      <c r="F34" s="32" t="s">
        <v>204</v>
      </c>
      <c r="G34" s="7"/>
    </row>
    <row r="36" customFormat="false" ht="15" hidden="false" customHeight="false" outlineLevel="0" collapsed="false">
      <c r="A36" s="27" t="s">
        <v>206</v>
      </c>
      <c r="C36" s="26" t="n">
        <f aca="false">COUNTA(C5:C34)</f>
        <v>30</v>
      </c>
    </row>
    <row r="37" customFormat="false" ht="15" hidden="false" customHeight="false" outlineLevel="0" collapsed="false">
      <c r="A37" s="27" t="s">
        <v>207</v>
      </c>
      <c r="C37" s="26" t="n">
        <f aca="false">COUNTIF(G5:G34,"Gravado")+COUNTIF(G5:G34,"Publicado")</f>
        <v>0</v>
      </c>
    </row>
    <row r="38" customFormat="false" ht="15" hidden="false" customHeight="false" outlineLevel="0" collapsed="false">
      <c r="A38" s="27" t="s">
        <v>208</v>
      </c>
      <c r="C38" s="26" t="n">
        <f aca="false">COUNTIF(A5:A34,1)</f>
        <v>10</v>
      </c>
    </row>
    <row r="39" customFormat="false" ht="15" hidden="false" customHeight="false" outlineLevel="0" collapsed="false">
      <c r="A39" s="27" t="s">
        <v>209</v>
      </c>
      <c r="C39" s="26" t="n">
        <f aca="false">COUNTIF(A5:A34,2)</f>
        <v>10</v>
      </c>
    </row>
    <row r="40" customFormat="false" ht="15" hidden="false" customHeight="false" outlineLevel="0" collapsed="false">
      <c r="A40" s="27" t="s">
        <v>210</v>
      </c>
      <c r="C40" s="26" t="n">
        <f aca="false">COUNTIF(A5:A34,3)</f>
        <v>10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211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212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134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218</v>
      </c>
    </row>
    <row r="5" customFormat="false" ht="15" hidden="false" customHeight="false" outlineLevel="0" collapsed="false">
      <c r="A5" s="31" t="s">
        <v>14</v>
      </c>
      <c r="B5" s="32" t="s">
        <v>15</v>
      </c>
      <c r="C5" s="29" t="s">
        <v>219</v>
      </c>
      <c r="D5" s="29" t="n">
        <v>9</v>
      </c>
      <c r="E5" s="33" t="n">
        <v>46245</v>
      </c>
      <c r="F5" s="34" t="s">
        <v>25</v>
      </c>
      <c r="G5" s="29" t="s">
        <v>220</v>
      </c>
    </row>
    <row r="6" customFormat="false" ht="15" hidden="false" customHeight="false" outlineLevel="0" collapsed="false">
      <c r="A6" s="31" t="s">
        <v>23</v>
      </c>
      <c r="B6" s="32" t="s">
        <v>24</v>
      </c>
      <c r="C6" s="29" t="s">
        <v>221</v>
      </c>
      <c r="D6" s="29" t="n">
        <v>7</v>
      </c>
      <c r="E6" s="33" t="n">
        <v>46247</v>
      </c>
      <c r="F6" s="34" t="s">
        <v>25</v>
      </c>
      <c r="G6" s="29" t="s">
        <v>222</v>
      </c>
    </row>
    <row r="7" customFormat="false" ht="15" hidden="false" customHeight="false" outlineLevel="0" collapsed="false">
      <c r="A7" s="31" t="s">
        <v>48</v>
      </c>
      <c r="B7" s="32" t="s">
        <v>49</v>
      </c>
      <c r="C7" s="29" t="s">
        <v>223</v>
      </c>
      <c r="D7" s="29" t="n">
        <v>8</v>
      </c>
      <c r="E7" s="33" t="n">
        <v>46254</v>
      </c>
      <c r="F7" s="34" t="s">
        <v>25</v>
      </c>
      <c r="G7" s="29" t="s">
        <v>224</v>
      </c>
    </row>
    <row r="8" customFormat="false" ht="15" hidden="false" customHeight="false" outlineLevel="0" collapsed="false">
      <c r="A8" s="31" t="s">
        <v>59</v>
      </c>
      <c r="B8" s="32" t="s">
        <v>60</v>
      </c>
      <c r="C8" s="29" t="s">
        <v>225</v>
      </c>
      <c r="D8" s="29" t="n">
        <v>9</v>
      </c>
      <c r="E8" s="33" t="n">
        <v>46259</v>
      </c>
      <c r="F8" s="34" t="s">
        <v>25</v>
      </c>
      <c r="G8" s="29" t="s">
        <v>226</v>
      </c>
    </row>
    <row r="9" customFormat="false" ht="15" hidden="false" customHeight="false" outlineLevel="0" collapsed="false">
      <c r="A9" s="31" t="s">
        <v>65</v>
      </c>
      <c r="B9" s="32" t="s">
        <v>66</v>
      </c>
      <c r="C9" s="29" t="s">
        <v>219</v>
      </c>
      <c r="D9" s="29" t="n">
        <v>8</v>
      </c>
      <c r="E9" s="33" t="n">
        <v>46261</v>
      </c>
      <c r="F9" s="29" t="s">
        <v>227</v>
      </c>
      <c r="G9" s="29"/>
    </row>
    <row r="10" customFormat="false" ht="15" hidden="false" customHeight="false" outlineLevel="0" collapsed="false">
      <c r="A10" s="31" t="s">
        <v>82</v>
      </c>
      <c r="B10" s="32" t="s">
        <v>83</v>
      </c>
      <c r="C10" s="29" t="s">
        <v>228</v>
      </c>
      <c r="D10" s="29" t="n">
        <v>7</v>
      </c>
      <c r="E10" s="33" t="n">
        <v>46268</v>
      </c>
      <c r="F10" s="29" t="s">
        <v>227</v>
      </c>
      <c r="G10" s="29"/>
    </row>
    <row r="11" customFormat="false" ht="15" hidden="false" customHeight="false" outlineLevel="0" collapsed="false">
      <c r="A11" s="31" t="s">
        <v>98</v>
      </c>
      <c r="B11" s="32" t="s">
        <v>229</v>
      </c>
      <c r="C11" s="29" t="s">
        <v>230</v>
      </c>
      <c r="D11" s="29" t="n">
        <v>7</v>
      </c>
      <c r="E11" s="33" t="n">
        <v>46274</v>
      </c>
      <c r="F11" s="29" t="s">
        <v>227</v>
      </c>
      <c r="G11" s="29"/>
    </row>
    <row r="12" customFormat="false" ht="15" hidden="false" customHeight="false" outlineLevel="0" collapsed="false">
      <c r="A12" s="31" t="s">
        <v>116</v>
      </c>
      <c r="B12" s="32" t="s">
        <v>117</v>
      </c>
      <c r="C12" s="29" t="s">
        <v>230</v>
      </c>
      <c r="D12" s="29" t="n">
        <v>9</v>
      </c>
      <c r="E12" s="33" t="n">
        <v>46282</v>
      </c>
      <c r="F12" s="29" t="s">
        <v>227</v>
      </c>
      <c r="G12" s="29"/>
    </row>
    <row r="13" customFormat="false" ht="15" hidden="false" customHeight="false" outlineLevel="0" collapsed="false">
      <c r="A13" s="31" t="s">
        <v>231</v>
      </c>
      <c r="B13" s="32" t="s">
        <v>232</v>
      </c>
      <c r="C13" s="29" t="s">
        <v>219</v>
      </c>
      <c r="D13" s="29" t="n">
        <v>7</v>
      </c>
      <c r="E13" s="33"/>
      <c r="F13" s="29" t="s">
        <v>233</v>
      </c>
      <c r="G13" s="29"/>
    </row>
    <row r="14" customFormat="false" ht="15" hidden="false" customHeight="false" outlineLevel="0" collapsed="false">
      <c r="A14" s="31" t="s">
        <v>234</v>
      </c>
      <c r="B14" s="32" t="s">
        <v>235</v>
      </c>
      <c r="C14" s="29" t="s">
        <v>221</v>
      </c>
      <c r="D14" s="29" t="n">
        <v>7</v>
      </c>
      <c r="E14" s="33"/>
      <c r="F14" s="29" t="s">
        <v>233</v>
      </c>
      <c r="G14" s="29"/>
    </row>
    <row r="15" customFormat="false" ht="15" hidden="false" customHeight="false" outlineLevel="0" collapsed="false">
      <c r="A15" s="31" t="s">
        <v>236</v>
      </c>
      <c r="B15" s="32" t="s">
        <v>237</v>
      </c>
      <c r="C15" s="29" t="s">
        <v>228</v>
      </c>
      <c r="D15" s="29" t="n">
        <v>6</v>
      </c>
      <c r="E15" s="33" t="n">
        <v>46341</v>
      </c>
      <c r="F15" s="29" t="s">
        <v>238</v>
      </c>
      <c r="G15" s="29"/>
    </row>
    <row r="17" customFormat="false" ht="15" hidden="false" customHeight="false" outlineLevel="0" collapsed="false">
      <c r="A17" s="27" t="s">
        <v>239</v>
      </c>
      <c r="C17" s="26" t="n">
        <f aca="false">COUNTA(A5:A15)</f>
        <v>11</v>
      </c>
    </row>
    <row r="18" customFormat="false" ht="15" hidden="false" customHeight="false" outlineLevel="0" collapsed="false">
      <c r="A18" s="27" t="s">
        <v>240</v>
      </c>
      <c r="C18" s="26" t="n">
        <f aca="false">COUNTIF(F5:F15,"PRONTO")</f>
        <v>4</v>
      </c>
    </row>
    <row r="19" customFormat="false" ht="15" hidden="false" customHeight="false" outlineLevel="0" collapsed="false">
      <c r="A19" s="27" t="s">
        <v>241</v>
      </c>
      <c r="C19" s="26" t="n">
        <f aca="false">COUNTIF(F5:F15,"A PRODUZIR")</f>
        <v>4</v>
      </c>
    </row>
    <row r="20" customFormat="false" ht="15" hidden="false" customHeight="false" outlineLevel="0" collapsed="false">
      <c r="A20" s="27" t="s">
        <v>242</v>
      </c>
      <c r="C20" s="26" t="n">
        <f aca="false">SUMIF(F5:F15,"PRONTO",D5:D15)</f>
        <v>33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243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244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245</v>
      </c>
      <c r="B4" s="3" t="s">
        <v>246</v>
      </c>
      <c r="C4" s="3" t="s">
        <v>247</v>
      </c>
      <c r="D4" s="3" t="s">
        <v>248</v>
      </c>
      <c r="E4" s="3" t="s">
        <v>9</v>
      </c>
      <c r="F4" s="3" t="s">
        <v>10</v>
      </c>
    </row>
    <row r="5" customFormat="false" ht="15" hidden="false" customHeight="false" outlineLevel="0" collapsed="false">
      <c r="A5" s="33" t="n">
        <v>46247</v>
      </c>
      <c r="B5" s="32" t="s">
        <v>249</v>
      </c>
      <c r="C5" s="32" t="s">
        <v>250</v>
      </c>
      <c r="D5" s="32" t="s">
        <v>251</v>
      </c>
      <c r="E5" s="7"/>
      <c r="F5" s="7"/>
    </row>
    <row r="6" customFormat="false" ht="15" hidden="false" customHeight="false" outlineLevel="0" collapsed="false">
      <c r="A6" s="33" t="n">
        <v>46251</v>
      </c>
      <c r="B6" s="32" t="s">
        <v>252</v>
      </c>
      <c r="C6" s="32" t="s">
        <v>253</v>
      </c>
      <c r="D6" s="32" t="s">
        <v>254</v>
      </c>
      <c r="E6" s="7"/>
      <c r="F6" s="7"/>
    </row>
    <row r="7" customFormat="false" ht="15" hidden="false" customHeight="false" outlineLevel="0" collapsed="false">
      <c r="A7" s="33" t="n">
        <v>46253</v>
      </c>
      <c r="B7" s="32" t="s">
        <v>255</v>
      </c>
      <c r="C7" s="32" t="s">
        <v>256</v>
      </c>
      <c r="D7" s="32" t="s">
        <v>257</v>
      </c>
      <c r="E7" s="7"/>
      <c r="F7" s="7"/>
    </row>
    <row r="8" customFormat="false" ht="15" hidden="false" customHeight="false" outlineLevel="0" collapsed="false">
      <c r="A8" s="33" t="n">
        <v>46256</v>
      </c>
      <c r="B8" s="35" t="s">
        <v>258</v>
      </c>
      <c r="C8" s="32" t="s">
        <v>259</v>
      </c>
      <c r="D8" s="32" t="s">
        <v>260</v>
      </c>
      <c r="E8" s="7"/>
      <c r="F8" s="7"/>
    </row>
    <row r="9" customFormat="false" ht="15" hidden="false" customHeight="false" outlineLevel="0" collapsed="false">
      <c r="A9" s="33" t="n">
        <v>46257</v>
      </c>
      <c r="B9" s="32" t="s">
        <v>261</v>
      </c>
      <c r="C9" s="32" t="s">
        <v>262</v>
      </c>
      <c r="D9" s="32" t="s">
        <v>263</v>
      </c>
      <c r="E9" s="7"/>
      <c r="F9" s="7"/>
    </row>
    <row r="10" customFormat="false" ht="15" hidden="false" customHeight="false" outlineLevel="0" collapsed="false">
      <c r="A10" s="33" t="n">
        <v>46259</v>
      </c>
      <c r="B10" s="32" t="s">
        <v>264</v>
      </c>
      <c r="C10" s="32" t="s">
        <v>265</v>
      </c>
      <c r="D10" s="32" t="s">
        <v>266</v>
      </c>
      <c r="E10" s="7"/>
      <c r="F10" s="7"/>
    </row>
    <row r="11" customFormat="false" ht="15" hidden="false" customHeight="false" outlineLevel="0" collapsed="false">
      <c r="A11" s="33" t="n">
        <v>46265</v>
      </c>
      <c r="B11" s="32" t="s">
        <v>267</v>
      </c>
      <c r="C11" s="32" t="s">
        <v>268</v>
      </c>
      <c r="D11" s="32" t="s">
        <v>269</v>
      </c>
      <c r="E11" s="7"/>
      <c r="F11" s="7"/>
    </row>
    <row r="12" customFormat="false" ht="15" hidden="false" customHeight="false" outlineLevel="0" collapsed="false">
      <c r="A12" s="33" t="n">
        <v>46266</v>
      </c>
      <c r="B12" s="32" t="s">
        <v>270</v>
      </c>
      <c r="C12" s="32" t="s">
        <v>77</v>
      </c>
      <c r="D12" s="32" t="s">
        <v>19</v>
      </c>
      <c r="E12" s="7"/>
      <c r="F12" s="7"/>
    </row>
    <row r="13" customFormat="false" ht="15" hidden="false" customHeight="false" outlineLevel="0" collapsed="false">
      <c r="A13" s="33" t="n">
        <v>46266</v>
      </c>
      <c r="B13" s="32" t="s">
        <v>271</v>
      </c>
      <c r="C13" s="32" t="s">
        <v>272</v>
      </c>
      <c r="D13" s="32" t="s">
        <v>273</v>
      </c>
      <c r="E13" s="7"/>
      <c r="F13" s="7"/>
    </row>
    <row r="14" customFormat="false" ht="15" hidden="false" customHeight="false" outlineLevel="0" collapsed="false">
      <c r="A14" s="33" t="n">
        <v>46271</v>
      </c>
      <c r="B14" s="32" t="s">
        <v>274</v>
      </c>
      <c r="C14" s="32" t="s">
        <v>92</v>
      </c>
      <c r="D14" s="32" t="s">
        <v>19</v>
      </c>
      <c r="E14" s="7"/>
      <c r="F14" s="7"/>
    </row>
    <row r="15" customFormat="false" ht="15" hidden="false" customHeight="false" outlineLevel="0" collapsed="false">
      <c r="A15" s="33" t="n">
        <v>46272</v>
      </c>
      <c r="B15" s="35" t="s">
        <v>275</v>
      </c>
      <c r="C15" s="32" t="s">
        <v>276</v>
      </c>
      <c r="D15" s="32" t="s">
        <v>277</v>
      </c>
      <c r="E15" s="7"/>
      <c r="F15" s="7"/>
    </row>
    <row r="16" customFormat="false" ht="15" hidden="false" customHeight="false" outlineLevel="0" collapsed="false">
      <c r="A16" s="33" t="n">
        <v>46277</v>
      </c>
      <c r="B16" s="32" t="s">
        <v>278</v>
      </c>
      <c r="C16" s="32" t="s">
        <v>279</v>
      </c>
      <c r="D16" s="32" t="s">
        <v>19</v>
      </c>
      <c r="E16" s="7"/>
      <c r="F16" s="7"/>
    </row>
    <row r="17" customFormat="false" ht="15" hidden="false" customHeight="false" outlineLevel="0" collapsed="false">
      <c r="A17" s="33" t="n">
        <v>46280</v>
      </c>
      <c r="B17" s="32" t="s">
        <v>280</v>
      </c>
      <c r="C17" s="32" t="s">
        <v>281</v>
      </c>
      <c r="D17" s="32" t="s">
        <v>282</v>
      </c>
      <c r="E17" s="7"/>
      <c r="F17" s="7"/>
    </row>
    <row r="18" customFormat="false" ht="15" hidden="false" customHeight="false" outlineLevel="0" collapsed="false">
      <c r="A18" s="33" t="n">
        <v>46296</v>
      </c>
      <c r="B18" s="32" t="s">
        <v>283</v>
      </c>
      <c r="C18" s="32" t="s">
        <v>284</v>
      </c>
      <c r="D18" s="32" t="s">
        <v>285</v>
      </c>
      <c r="E18" s="7"/>
      <c r="F18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6</v>
      </c>
      <c r="C4" s="3" t="s">
        <v>288</v>
      </c>
      <c r="D4" s="3" t="s">
        <v>289</v>
      </c>
      <c r="E4" s="3" t="s">
        <v>290</v>
      </c>
      <c r="F4" s="3" t="s">
        <v>291</v>
      </c>
      <c r="G4" s="3" t="s">
        <v>292</v>
      </c>
      <c r="H4" s="3" t="s">
        <v>293</v>
      </c>
      <c r="I4" s="3" t="s">
        <v>294</v>
      </c>
      <c r="J4" s="3" t="s">
        <v>295</v>
      </c>
      <c r="K4" s="3" t="s">
        <v>296</v>
      </c>
    </row>
    <row r="5" customFormat="false" ht="15" hidden="false" customHeight="false" outlineLevel="0" collapsed="false">
      <c r="A5" s="36" t="n">
        <v>46245</v>
      </c>
      <c r="B5" s="37" t="s">
        <v>14</v>
      </c>
      <c r="C5" s="37" t="s">
        <v>13</v>
      </c>
      <c r="D5" s="37" t="s">
        <v>297</v>
      </c>
      <c r="E5" s="37" t="n">
        <v>4300</v>
      </c>
      <c r="F5" s="37" t="n">
        <v>86</v>
      </c>
      <c r="G5" s="37" t="n">
        <v>52</v>
      </c>
      <c r="H5" s="37" t="n">
        <v>51</v>
      </c>
      <c r="I5" s="37" t="n">
        <v>120</v>
      </c>
      <c r="J5" s="38" t="n">
        <f aca="false">IFERROR(F5/E5*1000,"")</f>
        <v>20</v>
      </c>
      <c r="K5" s="39" t="str">
        <f aca="false">IF(E5="","",IF(IFERROR(F5/E5,0)&gt;3*IFERROR(AVERAGE($F$5:$F$85)/AVERAGE($E$5:$E$85),0),"SIM - 5 variações","-"))</f>
        <v>-</v>
      </c>
    </row>
    <row r="6" customFormat="false" ht="15" hidden="false" customHeight="false" outlineLevel="0" collapsed="false">
      <c r="A6" s="40"/>
      <c r="B6" s="41"/>
      <c r="C6" s="41"/>
      <c r="D6" s="41"/>
      <c r="E6" s="41"/>
      <c r="F6" s="41"/>
      <c r="G6" s="41"/>
      <c r="H6" s="41"/>
      <c r="I6" s="41"/>
      <c r="J6" s="38" t="str">
        <f aca="false">IFERROR(F6/E6*1000,"")</f>
        <v/>
      </c>
      <c r="K6" s="39" t="str">
        <f aca="false">IF(E6="","",IF(IFERROR(F6/E6,0)&gt;3*IFERROR(AVERAGE($F$5:$F$85)/AVERAGE($E$5:$E$85),0),"SIM - 5 variações","-"))</f>
        <v/>
      </c>
    </row>
    <row r="7" customFormat="false" ht="15" hidden="false" customHeight="false" outlineLevel="0" collapsed="false">
      <c r="A7" s="40"/>
      <c r="B7" s="41"/>
      <c r="C7" s="41"/>
      <c r="D7" s="41"/>
      <c r="E7" s="41"/>
      <c r="F7" s="41"/>
      <c r="G7" s="41"/>
      <c r="H7" s="41"/>
      <c r="I7" s="41"/>
      <c r="J7" s="38" t="str">
        <f aca="false">IFERROR(F7/E7*1000,"")</f>
        <v/>
      </c>
      <c r="K7" s="39" t="str">
        <f aca="false">IF(E7="","",IF(IFERROR(F7/E7,0)&gt;3*IFERROR(AVERAGE($F$5:$F$85)/AVERAGE($E$5:$E$85),0),"SIM - 5 variações","-"))</f>
        <v/>
      </c>
    </row>
    <row r="8" customFormat="false" ht="15" hidden="false" customHeight="false" outlineLevel="0" collapsed="false">
      <c r="A8" s="40"/>
      <c r="B8" s="41"/>
      <c r="C8" s="41"/>
      <c r="D8" s="41"/>
      <c r="E8" s="41"/>
      <c r="F8" s="41"/>
      <c r="G8" s="41"/>
      <c r="H8" s="41"/>
      <c r="I8" s="41"/>
      <c r="J8" s="38" t="str">
        <f aca="false">IFERROR(F8/E8*1000,"")</f>
        <v/>
      </c>
      <c r="K8" s="39" t="str">
        <f aca="false">IF(E8="","",IF(IFERROR(F8/E8,0)&gt;3*IFERROR(AVERAGE($F$5:$F$85)/AVERAGE($E$5:$E$85),0),"SIM - 5 variações","-"))</f>
        <v/>
      </c>
    </row>
    <row r="9" customFormat="false" ht="15" hidden="false" customHeight="false" outlineLevel="0" collapsed="false">
      <c r="A9" s="40"/>
      <c r="B9" s="41"/>
      <c r="C9" s="41"/>
      <c r="D9" s="41"/>
      <c r="E9" s="41"/>
      <c r="F9" s="41"/>
      <c r="G9" s="41"/>
      <c r="H9" s="41"/>
      <c r="I9" s="41"/>
      <c r="J9" s="38" t="str">
        <f aca="false">IFERROR(F9/E9*1000,"")</f>
        <v/>
      </c>
      <c r="K9" s="39" t="str">
        <f aca="false">IF(E9="","",IF(IFERROR(F9/E9,0)&gt;3*IFERROR(AVERAGE($F$5:$F$85)/AVERAGE($E$5:$E$85),0),"SIM - 5 variações","-"))</f>
        <v/>
      </c>
    </row>
    <row r="10" customFormat="false" ht="15" hidden="false" customHeight="false" outlineLevel="0" collapsed="false">
      <c r="A10" s="40"/>
      <c r="B10" s="41"/>
      <c r="C10" s="41"/>
      <c r="D10" s="41"/>
      <c r="E10" s="41"/>
      <c r="F10" s="41"/>
      <c r="G10" s="41"/>
      <c r="H10" s="41"/>
      <c r="I10" s="41"/>
      <c r="J10" s="38" t="str">
        <f aca="false">IFERROR(F10/E10*1000,"")</f>
        <v/>
      </c>
      <c r="K10" s="39" t="str">
        <f aca="false">IF(E10="","",IF(IFERROR(F10/E10,0)&gt;3*IFERROR(AVERAGE($F$5:$F$85)/AVERAGE($E$5:$E$85),0),"SIM - 5 variações","-"))</f>
        <v/>
      </c>
    </row>
    <row r="11" customFormat="false" ht="15" hidden="false" customHeight="false" outlineLevel="0" collapsed="false">
      <c r="A11" s="40"/>
      <c r="B11" s="41"/>
      <c r="C11" s="41"/>
      <c r="D11" s="41"/>
      <c r="E11" s="41"/>
      <c r="F11" s="41"/>
      <c r="G11" s="41"/>
      <c r="H11" s="41"/>
      <c r="I11" s="41"/>
      <c r="J11" s="38" t="str">
        <f aca="false">IFERROR(F11/E11*1000,"")</f>
        <v/>
      </c>
      <c r="K11" s="39" t="str">
        <f aca="false">IF(E11="","",IF(IFERROR(F11/E11,0)&gt;3*IFERROR(AVERAGE($F$5:$F$85)/AVERAGE($E$5:$E$85),0),"SIM - 5 variações","-"))</f>
        <v/>
      </c>
    </row>
    <row r="12" customFormat="false" ht="15" hidden="false" customHeight="false" outlineLevel="0" collapsed="false">
      <c r="A12" s="40"/>
      <c r="B12" s="41"/>
      <c r="C12" s="41"/>
      <c r="D12" s="41"/>
      <c r="E12" s="41"/>
      <c r="F12" s="41"/>
      <c r="G12" s="41"/>
      <c r="H12" s="41"/>
      <c r="I12" s="41"/>
      <c r="J12" s="38" t="str">
        <f aca="false">IFERROR(F12/E12*1000,"")</f>
        <v/>
      </c>
      <c r="K12" s="39" t="str">
        <f aca="false">IF(E12="","",IF(IFERROR(F12/E12,0)&gt;3*IFERROR(AVERAGE($F$5:$F$85)/AVERAGE($E$5:$E$85),0),"SIM - 5 variações","-"))</f>
        <v/>
      </c>
    </row>
    <row r="13" customFormat="false" ht="15" hidden="false" customHeight="false" outlineLevel="0" collapsed="false">
      <c r="A13" s="40"/>
      <c r="B13" s="41"/>
      <c r="C13" s="41"/>
      <c r="D13" s="41"/>
      <c r="E13" s="41"/>
      <c r="F13" s="41"/>
      <c r="G13" s="41"/>
      <c r="H13" s="41"/>
      <c r="I13" s="41"/>
      <c r="J13" s="38" t="str">
        <f aca="false">IFERROR(F13/E13*1000,"")</f>
        <v/>
      </c>
      <c r="K13" s="39" t="str">
        <f aca="false">IF(E13="","",IF(IFERROR(F13/E13,0)&gt;3*IFERROR(AVERAGE($F$5:$F$85)/AVERAGE($E$5:$E$85),0),"SIM - 5 variações","-"))</f>
        <v/>
      </c>
    </row>
    <row r="14" customFormat="false" ht="15" hidden="false" customHeight="false" outlineLevel="0" collapsed="false">
      <c r="A14" s="40"/>
      <c r="B14" s="41"/>
      <c r="C14" s="41"/>
      <c r="D14" s="41"/>
      <c r="E14" s="41"/>
      <c r="F14" s="41"/>
      <c r="G14" s="41"/>
      <c r="H14" s="41"/>
      <c r="I14" s="41"/>
      <c r="J14" s="38" t="str">
        <f aca="false">IFERROR(F14/E14*1000,"")</f>
        <v/>
      </c>
      <c r="K14" s="39" t="str">
        <f aca="false">IF(E14="","",IF(IFERROR(F14/E14,0)&gt;3*IFERROR(AVERAGE($F$5:$F$85)/AVERAGE($E$5:$E$85),0),"SIM - 5 variações","-"))</f>
        <v/>
      </c>
    </row>
    <row r="15" customFormat="false" ht="15" hidden="false" customHeight="false" outlineLevel="0" collapsed="false">
      <c r="A15" s="40"/>
      <c r="B15" s="41"/>
      <c r="C15" s="41"/>
      <c r="D15" s="41"/>
      <c r="E15" s="41"/>
      <c r="F15" s="41"/>
      <c r="G15" s="41"/>
      <c r="H15" s="41"/>
      <c r="I15" s="41"/>
      <c r="J15" s="38" t="str">
        <f aca="false">IFERROR(F15/E15*1000,"")</f>
        <v/>
      </c>
      <c r="K15" s="39" t="str">
        <f aca="false">IF(E15="","",IF(IFERROR(F15/E15,0)&gt;3*IFERROR(AVERAGE($F$5:$F$85)/AVERAGE($E$5:$E$85),0),"SIM - 5 variações","-"))</f>
        <v/>
      </c>
    </row>
    <row r="16" customFormat="false" ht="15" hidden="false" customHeight="false" outlineLevel="0" collapsed="false">
      <c r="A16" s="40"/>
      <c r="B16" s="41"/>
      <c r="C16" s="41"/>
      <c r="D16" s="41"/>
      <c r="E16" s="41"/>
      <c r="F16" s="41"/>
      <c r="G16" s="41"/>
      <c r="H16" s="41"/>
      <c r="I16" s="41"/>
      <c r="J16" s="38" t="str">
        <f aca="false">IFERROR(F16/E16*1000,"")</f>
        <v/>
      </c>
      <c r="K16" s="39" t="str">
        <f aca="false">IF(E16="","",IF(IFERROR(F16/E16,0)&gt;3*IFERROR(AVERAGE($F$5:$F$85)/AVERAGE($E$5:$E$85),0),"SIM - 5 variações","-"))</f>
        <v/>
      </c>
    </row>
    <row r="17" customFormat="false" ht="15" hidden="false" customHeight="false" outlineLevel="0" collapsed="false">
      <c r="A17" s="40"/>
      <c r="B17" s="41"/>
      <c r="C17" s="41"/>
      <c r="D17" s="41"/>
      <c r="E17" s="41"/>
      <c r="F17" s="41"/>
      <c r="G17" s="41"/>
      <c r="H17" s="41"/>
      <c r="I17" s="41"/>
      <c r="J17" s="38" t="str">
        <f aca="false">IFERROR(F17/E17*1000,"")</f>
        <v/>
      </c>
      <c r="K17" s="39" t="str">
        <f aca="false">IF(E17="","",IF(IFERROR(F17/E17,0)&gt;3*IFERROR(AVERAGE($F$5:$F$85)/AVERAGE($E$5:$E$85),0),"SIM - 5 variações","-"))</f>
        <v/>
      </c>
    </row>
    <row r="18" customFormat="false" ht="15" hidden="false" customHeight="false" outlineLevel="0" collapsed="false">
      <c r="A18" s="40"/>
      <c r="B18" s="41"/>
      <c r="C18" s="41"/>
      <c r="D18" s="41"/>
      <c r="E18" s="41"/>
      <c r="F18" s="41"/>
      <c r="G18" s="41"/>
      <c r="H18" s="41"/>
      <c r="I18" s="41"/>
      <c r="J18" s="38" t="str">
        <f aca="false">IFERROR(F18/E18*1000,"")</f>
        <v/>
      </c>
      <c r="K18" s="39" t="str">
        <f aca="false">IF(E18="","",IF(IFERROR(F18/E18,0)&gt;3*IFERROR(AVERAGE($F$5:$F$85)/AVERAGE($E$5:$E$85),0),"SIM - 5 variações","-"))</f>
        <v/>
      </c>
    </row>
    <row r="19" customFormat="false" ht="15" hidden="false" customHeight="false" outlineLevel="0" collapsed="false">
      <c r="A19" s="40"/>
      <c r="B19" s="41"/>
      <c r="C19" s="41"/>
      <c r="D19" s="41"/>
      <c r="E19" s="41"/>
      <c r="F19" s="41"/>
      <c r="G19" s="41"/>
      <c r="H19" s="41"/>
      <c r="I19" s="41"/>
      <c r="J19" s="38" t="str">
        <f aca="false">IFERROR(F19/E19*1000,"")</f>
        <v/>
      </c>
      <c r="K19" s="39" t="str">
        <f aca="false">IF(E19="","",IF(IFERROR(F19/E19,0)&gt;3*IFERROR(AVERAGE($F$5:$F$85)/AVERAGE($E$5:$E$85),0),"SIM - 5 variações","-"))</f>
        <v/>
      </c>
    </row>
    <row r="20" customFormat="false" ht="15" hidden="false" customHeight="false" outlineLevel="0" collapsed="false">
      <c r="A20" s="40"/>
      <c r="B20" s="41"/>
      <c r="C20" s="41"/>
      <c r="D20" s="41"/>
      <c r="E20" s="41"/>
      <c r="F20" s="41"/>
      <c r="G20" s="41"/>
      <c r="H20" s="41"/>
      <c r="I20" s="41"/>
      <c r="J20" s="38" t="str">
        <f aca="false">IFERROR(F20/E20*1000,"")</f>
        <v/>
      </c>
      <c r="K20" s="39" t="str">
        <f aca="false">IF(E20="","",IF(IFERROR(F20/E20,0)&gt;3*IFERROR(AVERAGE($F$5:$F$85)/AVERAGE($E$5:$E$85),0),"SIM - 5 variações","-"))</f>
        <v/>
      </c>
    </row>
    <row r="21" customFormat="false" ht="15" hidden="false" customHeight="false" outlineLevel="0" collapsed="false">
      <c r="A21" s="40"/>
      <c r="B21" s="41"/>
      <c r="C21" s="41"/>
      <c r="D21" s="41"/>
      <c r="E21" s="41"/>
      <c r="F21" s="41"/>
      <c r="G21" s="41"/>
      <c r="H21" s="41"/>
      <c r="I21" s="41"/>
      <c r="J21" s="38" t="str">
        <f aca="false">IFERROR(F21/E21*1000,"")</f>
        <v/>
      </c>
      <c r="K21" s="39" t="str">
        <f aca="false">IF(E21="","",IF(IFERROR(F21/E21,0)&gt;3*IFERROR(AVERAGE($F$5:$F$85)/AVERAGE($E$5:$E$85),0),"SIM - 5 variações","-"))</f>
        <v/>
      </c>
    </row>
    <row r="22" customFormat="false" ht="15" hidden="false" customHeight="false" outlineLevel="0" collapsed="false">
      <c r="A22" s="40"/>
      <c r="B22" s="41"/>
      <c r="C22" s="41"/>
      <c r="D22" s="41"/>
      <c r="E22" s="41"/>
      <c r="F22" s="41"/>
      <c r="G22" s="41"/>
      <c r="H22" s="41"/>
      <c r="I22" s="41"/>
      <c r="J22" s="38" t="str">
        <f aca="false">IFERROR(F22/E22*1000,"")</f>
        <v/>
      </c>
      <c r="K22" s="39" t="str">
        <f aca="false">IF(E22="","",IF(IFERROR(F22/E22,0)&gt;3*IFERROR(AVERAGE($F$5:$F$85)/AVERAGE($E$5:$E$85),0),"SIM - 5 variações","-"))</f>
        <v/>
      </c>
    </row>
    <row r="23" customFormat="false" ht="15" hidden="false" customHeight="false" outlineLevel="0" collapsed="false">
      <c r="A23" s="40"/>
      <c r="B23" s="41"/>
      <c r="C23" s="41"/>
      <c r="D23" s="41"/>
      <c r="E23" s="41"/>
      <c r="F23" s="41"/>
      <c r="G23" s="41"/>
      <c r="H23" s="41"/>
      <c r="I23" s="41"/>
      <c r="J23" s="38" t="str">
        <f aca="false">IFERROR(F23/E23*1000,"")</f>
        <v/>
      </c>
      <c r="K23" s="39" t="str">
        <f aca="false">IF(E23="","",IF(IFERROR(F23/E23,0)&gt;3*IFERROR(AVERAGE($F$5:$F$85)/AVERAGE($E$5:$E$85),0),"SIM - 5 variações","-"))</f>
        <v/>
      </c>
    </row>
    <row r="24" customFormat="false" ht="15" hidden="false" customHeight="false" outlineLevel="0" collapsed="false">
      <c r="A24" s="40"/>
      <c r="B24" s="41"/>
      <c r="C24" s="41"/>
      <c r="D24" s="41"/>
      <c r="E24" s="41"/>
      <c r="F24" s="41"/>
      <c r="G24" s="41"/>
      <c r="H24" s="41"/>
      <c r="I24" s="41"/>
      <c r="J24" s="38" t="str">
        <f aca="false">IFERROR(F24/E24*1000,"")</f>
        <v/>
      </c>
      <c r="K24" s="39" t="str">
        <f aca="false">IF(E24="","",IF(IFERROR(F24/E24,0)&gt;3*IFERROR(AVERAGE($F$5:$F$85)/AVERAGE($E$5:$E$85),0),"SIM - 5 variações","-"))</f>
        <v/>
      </c>
    </row>
    <row r="25" customFormat="false" ht="15" hidden="false" customHeight="false" outlineLevel="0" collapsed="false">
      <c r="A25" s="40"/>
      <c r="B25" s="41"/>
      <c r="C25" s="41"/>
      <c r="D25" s="41"/>
      <c r="E25" s="41"/>
      <c r="F25" s="41"/>
      <c r="G25" s="41"/>
      <c r="H25" s="41"/>
      <c r="I25" s="41"/>
      <c r="J25" s="38" t="str">
        <f aca="false">IFERROR(F25/E25*1000,"")</f>
        <v/>
      </c>
      <c r="K25" s="39" t="str">
        <f aca="false">IF(E25="","",IF(IFERROR(F25/E25,0)&gt;3*IFERROR(AVERAGE($F$5:$F$85)/AVERAGE($E$5:$E$85),0),"SIM - 5 variações","-"))</f>
        <v/>
      </c>
    </row>
    <row r="26" customFormat="false" ht="15" hidden="false" customHeight="false" outlineLevel="0" collapsed="false">
      <c r="A26" s="40"/>
      <c r="B26" s="41"/>
      <c r="C26" s="41"/>
      <c r="D26" s="41"/>
      <c r="E26" s="41"/>
      <c r="F26" s="41"/>
      <c r="G26" s="41"/>
      <c r="H26" s="41"/>
      <c r="I26" s="41"/>
      <c r="J26" s="38" t="str">
        <f aca="false">IFERROR(F26/E26*1000,"")</f>
        <v/>
      </c>
      <c r="K26" s="39" t="str">
        <f aca="false">IF(E26="","",IF(IFERROR(F26/E26,0)&gt;3*IFERROR(AVERAGE($F$5:$F$85)/AVERAGE($E$5:$E$85),0),"SIM - 5 variações","-"))</f>
        <v/>
      </c>
    </row>
    <row r="27" customFormat="false" ht="15" hidden="false" customHeight="false" outlineLevel="0" collapsed="false">
      <c r="A27" s="40"/>
      <c r="B27" s="41"/>
      <c r="C27" s="41"/>
      <c r="D27" s="41"/>
      <c r="E27" s="41"/>
      <c r="F27" s="41"/>
      <c r="G27" s="41"/>
      <c r="H27" s="41"/>
      <c r="I27" s="41"/>
      <c r="J27" s="38" t="str">
        <f aca="false">IFERROR(F27/E27*1000,"")</f>
        <v/>
      </c>
      <c r="K27" s="39" t="str">
        <f aca="false">IF(E27="","",IF(IFERROR(F27/E27,0)&gt;3*IFERROR(AVERAGE($F$5:$F$85)/AVERAGE($E$5:$E$85),0),"SIM - 5 variações","-"))</f>
        <v/>
      </c>
    </row>
    <row r="28" customFormat="false" ht="15" hidden="false" customHeight="false" outlineLevel="0" collapsed="false">
      <c r="A28" s="40"/>
      <c r="B28" s="41"/>
      <c r="C28" s="41"/>
      <c r="D28" s="41"/>
      <c r="E28" s="41"/>
      <c r="F28" s="41"/>
      <c r="G28" s="41"/>
      <c r="H28" s="41"/>
      <c r="I28" s="41"/>
      <c r="J28" s="38" t="str">
        <f aca="false">IFERROR(F28/E28*1000,"")</f>
        <v/>
      </c>
      <c r="K28" s="39" t="str">
        <f aca="false">IF(E28="","",IF(IFERROR(F28/E28,0)&gt;3*IFERROR(AVERAGE($F$5:$F$85)/AVERAGE($E$5:$E$85),0),"SIM - 5 variações","-"))</f>
        <v/>
      </c>
    </row>
    <row r="29" customFormat="false" ht="15" hidden="false" customHeight="false" outlineLevel="0" collapsed="false">
      <c r="A29" s="40"/>
      <c r="B29" s="41"/>
      <c r="C29" s="41"/>
      <c r="D29" s="41"/>
      <c r="E29" s="41"/>
      <c r="F29" s="41"/>
      <c r="G29" s="41"/>
      <c r="H29" s="41"/>
      <c r="I29" s="41"/>
      <c r="J29" s="38" t="str">
        <f aca="false">IFERROR(F29/E29*1000,"")</f>
        <v/>
      </c>
      <c r="K29" s="39" t="str">
        <f aca="false">IF(E29="","",IF(IFERROR(F29/E29,0)&gt;3*IFERROR(AVERAGE($F$5:$F$85)/AVERAGE($E$5:$E$85),0),"SIM - 5 variações","-"))</f>
        <v/>
      </c>
    </row>
    <row r="30" customFormat="false" ht="15" hidden="false" customHeight="false" outlineLevel="0" collapsed="false">
      <c r="A30" s="40"/>
      <c r="B30" s="41"/>
      <c r="C30" s="41"/>
      <c r="D30" s="41"/>
      <c r="E30" s="41"/>
      <c r="F30" s="41"/>
      <c r="G30" s="41"/>
      <c r="H30" s="41"/>
      <c r="I30" s="41"/>
      <c r="J30" s="38" t="str">
        <f aca="false">IFERROR(F30/E30*1000,"")</f>
        <v/>
      </c>
      <c r="K30" s="39" t="str">
        <f aca="false">IF(E30="","",IF(IFERROR(F30/E30,0)&gt;3*IFERROR(AVERAGE($F$5:$F$85)/AVERAGE($E$5:$E$85),0),"SIM - 5 variações","-"))</f>
        <v/>
      </c>
    </row>
    <row r="31" customFormat="false" ht="15" hidden="false" customHeight="false" outlineLevel="0" collapsed="false">
      <c r="A31" s="40"/>
      <c r="B31" s="41"/>
      <c r="C31" s="41"/>
      <c r="D31" s="41"/>
      <c r="E31" s="41"/>
      <c r="F31" s="41"/>
      <c r="G31" s="41"/>
      <c r="H31" s="41"/>
      <c r="I31" s="41"/>
      <c r="J31" s="38" t="str">
        <f aca="false">IFERROR(F31/E31*1000,"")</f>
        <v/>
      </c>
      <c r="K31" s="39" t="str">
        <f aca="false">IF(E31="","",IF(IFERROR(F31/E31,0)&gt;3*IFERROR(AVERAGE($F$5:$F$85)/AVERAGE($E$5:$E$85),0),"SIM - 5 variações","-"))</f>
        <v/>
      </c>
    </row>
    <row r="32" customFormat="false" ht="15" hidden="false" customHeight="false" outlineLevel="0" collapsed="false">
      <c r="A32" s="40"/>
      <c r="B32" s="41"/>
      <c r="C32" s="41"/>
      <c r="D32" s="41"/>
      <c r="E32" s="41"/>
      <c r="F32" s="41"/>
      <c r="G32" s="41"/>
      <c r="H32" s="41"/>
      <c r="I32" s="41"/>
      <c r="J32" s="38" t="str">
        <f aca="false">IFERROR(F32/E32*1000,"")</f>
        <v/>
      </c>
      <c r="K32" s="39" t="str">
        <f aca="false">IF(E32="","",IF(IFERROR(F32/E32,0)&gt;3*IFERROR(AVERAGE($F$5:$F$85)/AVERAGE($E$5:$E$85),0),"SIM - 5 variações","-"))</f>
        <v/>
      </c>
    </row>
    <row r="33" customFormat="false" ht="15" hidden="false" customHeight="false" outlineLevel="0" collapsed="false">
      <c r="A33" s="40"/>
      <c r="B33" s="41"/>
      <c r="C33" s="41"/>
      <c r="D33" s="41"/>
      <c r="E33" s="41"/>
      <c r="F33" s="41"/>
      <c r="G33" s="41"/>
      <c r="H33" s="41"/>
      <c r="I33" s="41"/>
      <c r="J33" s="38" t="str">
        <f aca="false">IFERROR(F33/E33*1000,"")</f>
        <v/>
      </c>
      <c r="K33" s="39" t="str">
        <f aca="false">IF(E33="","",IF(IFERROR(F33/E33,0)&gt;3*IFERROR(AVERAGE($F$5:$F$85)/AVERAGE($E$5:$E$85),0),"SIM - 5 variações","-"))</f>
        <v/>
      </c>
    </row>
    <row r="34" customFormat="false" ht="15" hidden="false" customHeight="false" outlineLevel="0" collapsed="false">
      <c r="A34" s="40"/>
      <c r="B34" s="41"/>
      <c r="C34" s="41"/>
      <c r="D34" s="41"/>
      <c r="E34" s="41"/>
      <c r="F34" s="41"/>
      <c r="G34" s="41"/>
      <c r="H34" s="41"/>
      <c r="I34" s="41"/>
      <c r="J34" s="38" t="str">
        <f aca="false">IFERROR(F34/E34*1000,"")</f>
        <v/>
      </c>
      <c r="K34" s="39" t="str">
        <f aca="false">IF(E34="","",IF(IFERROR(F34/E34,0)&gt;3*IFERROR(AVERAGE($F$5:$F$85)/AVERAGE($E$5:$E$85),0),"SIM - 5 variações","-"))</f>
        <v/>
      </c>
    </row>
    <row r="35" customFormat="false" ht="15" hidden="false" customHeight="false" outlineLevel="0" collapsed="false">
      <c r="A35" s="40"/>
      <c r="B35" s="41"/>
      <c r="C35" s="41"/>
      <c r="D35" s="41"/>
      <c r="E35" s="41"/>
      <c r="F35" s="41"/>
      <c r="G35" s="41"/>
      <c r="H35" s="41"/>
      <c r="I35" s="41"/>
      <c r="J35" s="38" t="str">
        <f aca="false">IFERROR(F35/E35*1000,"")</f>
        <v/>
      </c>
      <c r="K35" s="39" t="str">
        <f aca="false">IF(E35="","",IF(IFERROR(F35/E35,0)&gt;3*IFERROR(AVERAGE($F$5:$F$85)/AVERAGE($E$5:$E$85),0),"SIM - 5 variações","-"))</f>
        <v/>
      </c>
    </row>
    <row r="36" customFormat="false" ht="15" hidden="false" customHeight="false" outlineLevel="0" collapsed="false">
      <c r="A36" s="40"/>
      <c r="B36" s="41"/>
      <c r="C36" s="41"/>
      <c r="D36" s="41"/>
      <c r="E36" s="41"/>
      <c r="F36" s="41"/>
      <c r="G36" s="41"/>
      <c r="H36" s="41"/>
      <c r="I36" s="41"/>
      <c r="J36" s="38" t="str">
        <f aca="false">IFERROR(F36/E36*1000,"")</f>
        <v/>
      </c>
      <c r="K36" s="39" t="str">
        <f aca="false">IF(E36="","",IF(IFERROR(F36/E36,0)&gt;3*IFERROR(AVERAGE($F$5:$F$85)/AVERAGE($E$5:$E$85),0),"SIM - 5 variações","-"))</f>
        <v/>
      </c>
    </row>
    <row r="37" customFormat="false" ht="15" hidden="false" customHeight="false" outlineLevel="0" collapsed="false">
      <c r="A37" s="40"/>
      <c r="B37" s="41"/>
      <c r="C37" s="41"/>
      <c r="D37" s="41"/>
      <c r="E37" s="41"/>
      <c r="F37" s="41"/>
      <c r="G37" s="41"/>
      <c r="H37" s="41"/>
      <c r="I37" s="41"/>
      <c r="J37" s="38" t="str">
        <f aca="false">IFERROR(F37/E37*1000,"")</f>
        <v/>
      </c>
      <c r="K37" s="39" t="str">
        <f aca="false">IF(E37="","",IF(IFERROR(F37/E37,0)&gt;3*IFERROR(AVERAGE($F$5:$F$85)/AVERAGE($E$5:$E$85),0),"SIM - 5 variações","-"))</f>
        <v/>
      </c>
    </row>
    <row r="38" customFormat="false" ht="15" hidden="false" customHeight="false" outlineLevel="0" collapsed="false">
      <c r="A38" s="40"/>
      <c r="B38" s="41"/>
      <c r="C38" s="41"/>
      <c r="D38" s="41"/>
      <c r="E38" s="41"/>
      <c r="F38" s="41"/>
      <c r="G38" s="41"/>
      <c r="H38" s="41"/>
      <c r="I38" s="41"/>
      <c r="J38" s="38" t="str">
        <f aca="false">IFERROR(F38/E38*1000,"")</f>
        <v/>
      </c>
      <c r="K38" s="39" t="str">
        <f aca="false">IF(E38="","",IF(IFERROR(F38/E38,0)&gt;3*IFERROR(AVERAGE($F$5:$F$85)/AVERAGE($E$5:$E$85),0),"SIM - 5 variações","-"))</f>
        <v/>
      </c>
    </row>
    <row r="39" customFormat="false" ht="15" hidden="false" customHeight="false" outlineLevel="0" collapsed="false">
      <c r="A39" s="40"/>
      <c r="B39" s="41"/>
      <c r="C39" s="41"/>
      <c r="D39" s="41"/>
      <c r="E39" s="41"/>
      <c r="F39" s="41"/>
      <c r="G39" s="41"/>
      <c r="H39" s="41"/>
      <c r="I39" s="41"/>
      <c r="J39" s="38" t="str">
        <f aca="false">IFERROR(F39/E39*1000,"")</f>
        <v/>
      </c>
      <c r="K39" s="39" t="str">
        <f aca="false">IF(E39="","",IF(IFERROR(F39/E39,0)&gt;3*IFERROR(AVERAGE($F$5:$F$85)/AVERAGE($E$5:$E$85),0),"SIM - 5 variações","-"))</f>
        <v/>
      </c>
    </row>
    <row r="40" customFormat="false" ht="15" hidden="false" customHeight="false" outlineLevel="0" collapsed="false">
      <c r="A40" s="40"/>
      <c r="B40" s="41"/>
      <c r="C40" s="41"/>
      <c r="D40" s="41"/>
      <c r="E40" s="41"/>
      <c r="F40" s="41"/>
      <c r="G40" s="41"/>
      <c r="H40" s="41"/>
      <c r="I40" s="41"/>
      <c r="J40" s="38" t="str">
        <f aca="false">IFERROR(F40/E40*1000,"")</f>
        <v/>
      </c>
      <c r="K40" s="39" t="str">
        <f aca="false">IF(E40="","",IF(IFERROR(F40/E40,0)&gt;3*IFERROR(AVERAGE($F$5:$F$85)/AVERAGE($E$5:$E$85),0),"SIM - 5 variações","-"))</f>
        <v/>
      </c>
    </row>
    <row r="41" customFormat="false" ht="15" hidden="false" customHeight="false" outlineLevel="0" collapsed="false">
      <c r="A41" s="40"/>
      <c r="B41" s="41"/>
      <c r="C41" s="41"/>
      <c r="D41" s="41"/>
      <c r="E41" s="41"/>
      <c r="F41" s="41"/>
      <c r="G41" s="41"/>
      <c r="H41" s="41"/>
      <c r="I41" s="41"/>
      <c r="J41" s="38" t="str">
        <f aca="false">IFERROR(F41/E41*1000,"")</f>
        <v/>
      </c>
      <c r="K41" s="39" t="str">
        <f aca="false">IF(E41="","",IF(IFERROR(F41/E41,0)&gt;3*IFERROR(AVERAGE($F$5:$F$85)/AVERAGE($E$5:$E$85),0),"SIM - 5 variações","-"))</f>
        <v/>
      </c>
    </row>
    <row r="42" customFormat="false" ht="15" hidden="false" customHeight="false" outlineLevel="0" collapsed="false">
      <c r="A42" s="40"/>
      <c r="B42" s="41"/>
      <c r="C42" s="41"/>
      <c r="D42" s="41"/>
      <c r="E42" s="41"/>
      <c r="F42" s="41"/>
      <c r="G42" s="41"/>
      <c r="H42" s="41"/>
      <c r="I42" s="41"/>
      <c r="J42" s="38" t="str">
        <f aca="false">IFERROR(F42/E42*1000,"")</f>
        <v/>
      </c>
      <c r="K42" s="39" t="str">
        <f aca="false">IF(E42="","",IF(IFERROR(F42/E42,0)&gt;3*IFERROR(AVERAGE($F$5:$F$85)/AVERAGE($E$5:$E$85),0),"SIM - 5 variações","-"))</f>
        <v/>
      </c>
    </row>
    <row r="43" customFormat="false" ht="15" hidden="false" customHeight="false" outlineLevel="0" collapsed="false">
      <c r="A43" s="40"/>
      <c r="B43" s="41"/>
      <c r="C43" s="41"/>
      <c r="D43" s="41"/>
      <c r="E43" s="41"/>
      <c r="F43" s="41"/>
      <c r="G43" s="41"/>
      <c r="H43" s="41"/>
      <c r="I43" s="41"/>
      <c r="J43" s="38" t="str">
        <f aca="false">IFERROR(F43/E43*1000,"")</f>
        <v/>
      </c>
      <c r="K43" s="39" t="str">
        <f aca="false">IF(E43="","",IF(IFERROR(F43/E43,0)&gt;3*IFERROR(AVERAGE($F$5:$F$85)/AVERAGE($E$5:$E$85),0),"SIM - 5 variações","-"))</f>
        <v/>
      </c>
    </row>
    <row r="44" customFormat="false" ht="15" hidden="false" customHeight="false" outlineLevel="0" collapsed="false">
      <c r="A44" s="40"/>
      <c r="B44" s="41"/>
      <c r="C44" s="41"/>
      <c r="D44" s="41"/>
      <c r="E44" s="41"/>
      <c r="F44" s="41"/>
      <c r="G44" s="41"/>
      <c r="H44" s="41"/>
      <c r="I44" s="41"/>
      <c r="J44" s="38" t="str">
        <f aca="false">IFERROR(F44/E44*1000,"")</f>
        <v/>
      </c>
      <c r="K44" s="39" t="str">
        <f aca="false">IF(E44="","",IF(IFERROR(F44/E44,0)&gt;3*IFERROR(AVERAGE($F$5:$F$85)/AVERAGE($E$5:$E$85),0),"SIM - 5 variações","-"))</f>
        <v/>
      </c>
    </row>
    <row r="45" customFormat="false" ht="15" hidden="false" customHeight="false" outlineLevel="0" collapsed="false">
      <c r="A45" s="40"/>
      <c r="B45" s="41"/>
      <c r="C45" s="41"/>
      <c r="D45" s="41"/>
      <c r="E45" s="41"/>
      <c r="F45" s="41"/>
      <c r="G45" s="41"/>
      <c r="H45" s="41"/>
      <c r="I45" s="41"/>
      <c r="J45" s="38" t="str">
        <f aca="false">IFERROR(F45/E45*1000,"")</f>
        <v/>
      </c>
      <c r="K45" s="39" t="str">
        <f aca="false">IF(E45="","",IF(IFERROR(F45/E45,0)&gt;3*IFERROR(AVERAGE($F$5:$F$85)/AVERAGE($E$5:$E$85),0),"SIM - 5 variações","-"))</f>
        <v/>
      </c>
    </row>
    <row r="46" customFormat="false" ht="15" hidden="false" customHeight="false" outlineLevel="0" collapsed="false">
      <c r="A46" s="40"/>
      <c r="B46" s="41"/>
      <c r="C46" s="41"/>
      <c r="D46" s="41"/>
      <c r="E46" s="41"/>
      <c r="F46" s="41"/>
      <c r="G46" s="41"/>
      <c r="H46" s="41"/>
      <c r="I46" s="41"/>
      <c r="J46" s="38" t="str">
        <f aca="false">IFERROR(F46/E46*1000,"")</f>
        <v/>
      </c>
      <c r="K46" s="39" t="str">
        <f aca="false">IF(E46="","",IF(IFERROR(F46/E46,0)&gt;3*IFERROR(AVERAGE($F$5:$F$85)/AVERAGE($E$5:$E$85),0),"SIM - 5 variações","-"))</f>
        <v/>
      </c>
    </row>
    <row r="47" customFormat="false" ht="15" hidden="false" customHeight="false" outlineLevel="0" collapsed="false">
      <c r="A47" s="40"/>
      <c r="B47" s="41"/>
      <c r="C47" s="41"/>
      <c r="D47" s="41"/>
      <c r="E47" s="41"/>
      <c r="F47" s="41"/>
      <c r="G47" s="41"/>
      <c r="H47" s="41"/>
      <c r="I47" s="41"/>
      <c r="J47" s="38" t="str">
        <f aca="false">IFERROR(F47/E47*1000,"")</f>
        <v/>
      </c>
      <c r="K47" s="39" t="str">
        <f aca="false">IF(E47="","",IF(IFERROR(F47/E47,0)&gt;3*IFERROR(AVERAGE($F$5:$F$85)/AVERAGE($E$5:$E$85),0),"SIM - 5 variações","-"))</f>
        <v/>
      </c>
    </row>
    <row r="48" customFormat="false" ht="15" hidden="false" customHeight="false" outlineLevel="0" collapsed="false">
      <c r="A48" s="40"/>
      <c r="B48" s="41"/>
      <c r="C48" s="41"/>
      <c r="D48" s="41"/>
      <c r="E48" s="41"/>
      <c r="F48" s="41"/>
      <c r="G48" s="41"/>
      <c r="H48" s="41"/>
      <c r="I48" s="41"/>
      <c r="J48" s="38" t="str">
        <f aca="false">IFERROR(F48/E48*1000,"")</f>
        <v/>
      </c>
      <c r="K48" s="39" t="str">
        <f aca="false">IF(E48="","",IF(IFERROR(F48/E48,0)&gt;3*IFERROR(AVERAGE($F$5:$F$85)/AVERAGE($E$5:$E$85),0),"SIM - 5 variações","-"))</f>
        <v/>
      </c>
    </row>
    <row r="49" customFormat="false" ht="15" hidden="false" customHeight="false" outlineLevel="0" collapsed="false">
      <c r="A49" s="40"/>
      <c r="B49" s="41"/>
      <c r="C49" s="41"/>
      <c r="D49" s="41"/>
      <c r="E49" s="41"/>
      <c r="F49" s="41"/>
      <c r="G49" s="41"/>
      <c r="H49" s="41"/>
      <c r="I49" s="41"/>
      <c r="J49" s="38" t="str">
        <f aca="false">IFERROR(F49/E49*1000,"")</f>
        <v/>
      </c>
      <c r="K49" s="39" t="str">
        <f aca="false">IF(E49="","",IF(IFERROR(F49/E49,0)&gt;3*IFERROR(AVERAGE($F$5:$F$85)/AVERAGE($E$5:$E$85),0),"SIM - 5 variações","-"))</f>
        <v/>
      </c>
    </row>
    <row r="50" customFormat="false" ht="15" hidden="false" customHeight="false" outlineLevel="0" collapsed="false">
      <c r="A50" s="40"/>
      <c r="B50" s="41"/>
      <c r="C50" s="41"/>
      <c r="D50" s="41"/>
      <c r="E50" s="41"/>
      <c r="F50" s="41"/>
      <c r="G50" s="41"/>
      <c r="H50" s="41"/>
      <c r="I50" s="41"/>
      <c r="J50" s="38" t="str">
        <f aca="false">IFERROR(F50/E50*1000,"")</f>
        <v/>
      </c>
      <c r="K50" s="39" t="str">
        <f aca="false">IF(E50="","",IF(IFERROR(F50/E50,0)&gt;3*IFERROR(AVERAGE($F$5:$F$85)/AVERAGE($E$5:$E$85),0),"SIM - 5 variações","-"))</f>
        <v/>
      </c>
    </row>
    <row r="51" customFormat="false" ht="15" hidden="false" customHeight="false" outlineLevel="0" collapsed="false">
      <c r="A51" s="40"/>
      <c r="B51" s="41"/>
      <c r="C51" s="41"/>
      <c r="D51" s="41"/>
      <c r="E51" s="41"/>
      <c r="F51" s="41"/>
      <c r="G51" s="41"/>
      <c r="H51" s="41"/>
      <c r="I51" s="41"/>
      <c r="J51" s="38" t="str">
        <f aca="false">IFERROR(F51/E51*1000,"")</f>
        <v/>
      </c>
      <c r="K51" s="39" t="str">
        <f aca="false">IF(E51="","",IF(IFERROR(F51/E51,0)&gt;3*IFERROR(AVERAGE($F$5:$F$85)/AVERAGE($E$5:$E$85),0),"SIM - 5 variações","-"))</f>
        <v/>
      </c>
    </row>
    <row r="52" customFormat="false" ht="15" hidden="false" customHeight="false" outlineLevel="0" collapsed="false">
      <c r="A52" s="40"/>
      <c r="B52" s="41"/>
      <c r="C52" s="41"/>
      <c r="D52" s="41"/>
      <c r="E52" s="41"/>
      <c r="F52" s="41"/>
      <c r="G52" s="41"/>
      <c r="H52" s="41"/>
      <c r="I52" s="41"/>
      <c r="J52" s="38" t="str">
        <f aca="false">IFERROR(F52/E52*1000,"")</f>
        <v/>
      </c>
      <c r="K52" s="39" t="str">
        <f aca="false">IF(E52="","",IF(IFERROR(F52/E52,0)&gt;3*IFERROR(AVERAGE($F$5:$F$85)/AVERAGE($E$5:$E$85),0),"SIM - 5 variações","-"))</f>
        <v/>
      </c>
    </row>
    <row r="53" customFormat="false" ht="15" hidden="false" customHeight="false" outlineLevel="0" collapsed="false">
      <c r="A53" s="40"/>
      <c r="B53" s="41"/>
      <c r="C53" s="41"/>
      <c r="D53" s="41"/>
      <c r="E53" s="41"/>
      <c r="F53" s="41"/>
      <c r="G53" s="41"/>
      <c r="H53" s="41"/>
      <c r="I53" s="41"/>
      <c r="J53" s="38" t="str">
        <f aca="false">IFERROR(F53/E53*1000,"")</f>
        <v/>
      </c>
      <c r="K53" s="39" t="str">
        <f aca="false">IF(E53="","",IF(IFERROR(F53/E53,0)&gt;3*IFERROR(AVERAGE($F$5:$F$85)/AVERAGE($E$5:$E$85),0),"SIM - 5 variações","-"))</f>
        <v/>
      </c>
    </row>
    <row r="54" customFormat="false" ht="15" hidden="false" customHeight="false" outlineLevel="0" collapsed="false">
      <c r="A54" s="40"/>
      <c r="B54" s="41"/>
      <c r="C54" s="41"/>
      <c r="D54" s="41"/>
      <c r="E54" s="41"/>
      <c r="F54" s="41"/>
      <c r="G54" s="41"/>
      <c r="H54" s="41"/>
      <c r="I54" s="41"/>
      <c r="J54" s="38" t="str">
        <f aca="false">IFERROR(F54/E54*1000,"")</f>
        <v/>
      </c>
      <c r="K54" s="39" t="str">
        <f aca="false">IF(E54="","",IF(IFERROR(F54/E54,0)&gt;3*IFERROR(AVERAGE($F$5:$F$85)/AVERAGE($E$5:$E$85),0),"SIM - 5 variações","-"))</f>
        <v/>
      </c>
    </row>
    <row r="55" customFormat="false" ht="15" hidden="false" customHeight="false" outlineLevel="0" collapsed="false">
      <c r="A55" s="40"/>
      <c r="B55" s="41"/>
      <c r="C55" s="41"/>
      <c r="D55" s="41"/>
      <c r="E55" s="41"/>
      <c r="F55" s="41"/>
      <c r="G55" s="41"/>
      <c r="H55" s="41"/>
      <c r="I55" s="41"/>
      <c r="J55" s="38" t="str">
        <f aca="false">IFERROR(F55/E55*1000,"")</f>
        <v/>
      </c>
      <c r="K55" s="39" t="str">
        <f aca="false">IF(E55="","",IF(IFERROR(F55/E55,0)&gt;3*IFERROR(AVERAGE($F$5:$F$85)/AVERAGE($E$5:$E$85),0),"SIM - 5 variações","-"))</f>
        <v/>
      </c>
    </row>
    <row r="56" customFormat="false" ht="15" hidden="false" customHeight="false" outlineLevel="0" collapsed="false">
      <c r="A56" s="40"/>
      <c r="B56" s="41"/>
      <c r="C56" s="41"/>
      <c r="D56" s="41"/>
      <c r="E56" s="41"/>
      <c r="F56" s="41"/>
      <c r="G56" s="41"/>
      <c r="H56" s="41"/>
      <c r="I56" s="41"/>
      <c r="J56" s="38" t="str">
        <f aca="false">IFERROR(F56/E56*1000,"")</f>
        <v/>
      </c>
      <c r="K56" s="39" t="str">
        <f aca="false">IF(E56="","",IF(IFERROR(F56/E56,0)&gt;3*IFERROR(AVERAGE($F$5:$F$85)/AVERAGE($E$5:$E$85),0),"SIM - 5 variações","-"))</f>
        <v/>
      </c>
    </row>
    <row r="57" customFormat="false" ht="15" hidden="false" customHeight="false" outlineLevel="0" collapsed="false">
      <c r="A57" s="40"/>
      <c r="B57" s="41"/>
      <c r="C57" s="41"/>
      <c r="D57" s="41"/>
      <c r="E57" s="41"/>
      <c r="F57" s="41"/>
      <c r="G57" s="41"/>
      <c r="H57" s="41"/>
      <c r="I57" s="41"/>
      <c r="J57" s="38" t="str">
        <f aca="false">IFERROR(F57/E57*1000,"")</f>
        <v/>
      </c>
      <c r="K57" s="39" t="str">
        <f aca="false">IF(E57="","",IF(IFERROR(F57/E57,0)&gt;3*IFERROR(AVERAGE($F$5:$F$85)/AVERAGE($E$5:$E$85),0),"SIM - 5 variações","-"))</f>
        <v/>
      </c>
    </row>
    <row r="58" customFormat="false" ht="15" hidden="false" customHeight="false" outlineLevel="0" collapsed="false">
      <c r="A58" s="40"/>
      <c r="B58" s="41"/>
      <c r="C58" s="41"/>
      <c r="D58" s="41"/>
      <c r="E58" s="41"/>
      <c r="F58" s="41"/>
      <c r="G58" s="41"/>
      <c r="H58" s="41"/>
      <c r="I58" s="41"/>
      <c r="J58" s="38" t="str">
        <f aca="false">IFERROR(F58/E58*1000,"")</f>
        <v/>
      </c>
      <c r="K58" s="39" t="str">
        <f aca="false">IF(E58="","",IF(IFERROR(F58/E58,0)&gt;3*IFERROR(AVERAGE($F$5:$F$85)/AVERAGE($E$5:$E$85),0),"SIM - 5 variações","-"))</f>
        <v/>
      </c>
    </row>
    <row r="59" customFormat="false" ht="15" hidden="false" customHeight="false" outlineLevel="0" collapsed="false">
      <c r="A59" s="40"/>
      <c r="B59" s="41"/>
      <c r="C59" s="41"/>
      <c r="D59" s="41"/>
      <c r="E59" s="41"/>
      <c r="F59" s="41"/>
      <c r="G59" s="41"/>
      <c r="H59" s="41"/>
      <c r="I59" s="41"/>
      <c r="J59" s="38" t="str">
        <f aca="false">IFERROR(F59/E59*1000,"")</f>
        <v/>
      </c>
      <c r="K59" s="39" t="str">
        <f aca="false">IF(E59="","",IF(IFERROR(F59/E59,0)&gt;3*IFERROR(AVERAGE($F$5:$F$85)/AVERAGE($E$5:$E$85),0),"SIM - 5 variações","-"))</f>
        <v/>
      </c>
    </row>
    <row r="60" customFormat="false" ht="15" hidden="false" customHeight="false" outlineLevel="0" collapsed="false">
      <c r="A60" s="40"/>
      <c r="B60" s="41"/>
      <c r="C60" s="41"/>
      <c r="D60" s="41"/>
      <c r="E60" s="41"/>
      <c r="F60" s="41"/>
      <c r="G60" s="41"/>
      <c r="H60" s="41"/>
      <c r="I60" s="41"/>
      <c r="J60" s="38" t="str">
        <f aca="false">IFERROR(F60/E60*1000,"")</f>
        <v/>
      </c>
      <c r="K60" s="39" t="str">
        <f aca="false">IF(E60="","",IF(IFERROR(F60/E60,0)&gt;3*IFERROR(AVERAGE($F$5:$F$85)/AVERAGE($E$5:$E$85),0),"SIM - 5 variações","-"))</f>
        <v/>
      </c>
    </row>
    <row r="61" customFormat="false" ht="15" hidden="false" customHeight="false" outlineLevel="0" collapsed="false">
      <c r="A61" s="40"/>
      <c r="B61" s="41"/>
      <c r="C61" s="41"/>
      <c r="D61" s="41"/>
      <c r="E61" s="41"/>
      <c r="F61" s="41"/>
      <c r="G61" s="41"/>
      <c r="H61" s="41"/>
      <c r="I61" s="41"/>
      <c r="J61" s="38" t="str">
        <f aca="false">IFERROR(F61/E61*1000,"")</f>
        <v/>
      </c>
      <c r="K61" s="39" t="str">
        <f aca="false">IF(E61="","",IF(IFERROR(F61/E61,0)&gt;3*IFERROR(AVERAGE($F$5:$F$85)/AVERAGE($E$5:$E$85),0),"SIM - 5 variações","-"))</f>
        <v/>
      </c>
    </row>
    <row r="62" customFormat="false" ht="15" hidden="false" customHeight="false" outlineLevel="0" collapsed="false">
      <c r="A62" s="40"/>
      <c r="B62" s="41"/>
      <c r="C62" s="41"/>
      <c r="D62" s="41"/>
      <c r="E62" s="41"/>
      <c r="F62" s="41"/>
      <c r="G62" s="41"/>
      <c r="H62" s="41"/>
      <c r="I62" s="41"/>
      <c r="J62" s="38" t="str">
        <f aca="false">IFERROR(F62/E62*1000,"")</f>
        <v/>
      </c>
      <c r="K62" s="39" t="str">
        <f aca="false">IF(E62="","",IF(IFERROR(F62/E62,0)&gt;3*IFERROR(AVERAGE($F$5:$F$85)/AVERAGE($E$5:$E$85),0),"SIM - 5 variações","-"))</f>
        <v/>
      </c>
    </row>
    <row r="63" customFormat="false" ht="15" hidden="false" customHeight="false" outlineLevel="0" collapsed="false">
      <c r="A63" s="40"/>
      <c r="B63" s="41"/>
      <c r="C63" s="41"/>
      <c r="D63" s="41"/>
      <c r="E63" s="41"/>
      <c r="F63" s="41"/>
      <c r="G63" s="41"/>
      <c r="H63" s="41"/>
      <c r="I63" s="41"/>
      <c r="J63" s="38" t="str">
        <f aca="false">IFERROR(F63/E63*1000,"")</f>
        <v/>
      </c>
      <c r="K63" s="39" t="str">
        <f aca="false">IF(E63="","",IF(IFERROR(F63/E63,0)&gt;3*IFERROR(AVERAGE($F$5:$F$85)/AVERAGE($E$5:$E$85),0),"SIM - 5 variações","-"))</f>
        <v/>
      </c>
    </row>
    <row r="64" customFormat="false" ht="15" hidden="false" customHeight="false" outlineLevel="0" collapsed="false">
      <c r="A64" s="40"/>
      <c r="B64" s="41"/>
      <c r="C64" s="41"/>
      <c r="D64" s="41"/>
      <c r="E64" s="41"/>
      <c r="F64" s="41"/>
      <c r="G64" s="41"/>
      <c r="H64" s="41"/>
      <c r="I64" s="41"/>
      <c r="J64" s="38" t="str">
        <f aca="false">IFERROR(F64/E64*1000,"")</f>
        <v/>
      </c>
      <c r="K64" s="39" t="str">
        <f aca="false">IF(E64="","",IF(IFERROR(F64/E64,0)&gt;3*IFERROR(AVERAGE($F$5:$F$85)/AVERAGE($E$5:$E$85),0),"SIM - 5 variações","-"))</f>
        <v/>
      </c>
    </row>
    <row r="65" customFormat="false" ht="15" hidden="false" customHeight="false" outlineLevel="0" collapsed="false">
      <c r="A65" s="40"/>
      <c r="B65" s="41"/>
      <c r="C65" s="41"/>
      <c r="D65" s="41"/>
      <c r="E65" s="41"/>
      <c r="F65" s="41"/>
      <c r="G65" s="41"/>
      <c r="H65" s="41"/>
      <c r="I65" s="41"/>
      <c r="J65" s="38" t="str">
        <f aca="false">IFERROR(F65/E65*1000,"")</f>
        <v/>
      </c>
      <c r="K65" s="39" t="str">
        <f aca="false">IF(E65="","",IF(IFERROR(F65/E65,0)&gt;3*IFERROR(AVERAGE($F$5:$F$85)/AVERAGE($E$5:$E$85),0),"SIM - 5 variações","-"))</f>
        <v/>
      </c>
    </row>
    <row r="66" customFormat="false" ht="15" hidden="false" customHeight="false" outlineLevel="0" collapsed="false">
      <c r="A66" s="40"/>
      <c r="B66" s="41"/>
      <c r="C66" s="41"/>
      <c r="D66" s="41"/>
      <c r="E66" s="41"/>
      <c r="F66" s="41"/>
      <c r="G66" s="41"/>
      <c r="H66" s="41"/>
      <c r="I66" s="41"/>
      <c r="J66" s="38" t="str">
        <f aca="false">IFERROR(F66/E66*1000,"")</f>
        <v/>
      </c>
      <c r="K66" s="39" t="str">
        <f aca="false">IF(E66="","",IF(IFERROR(F66/E66,0)&gt;3*IFERROR(AVERAGE($F$5:$F$85)/AVERAGE($E$5:$E$85),0),"SIM - 5 variações","-"))</f>
        <v/>
      </c>
    </row>
    <row r="67" customFormat="false" ht="15" hidden="false" customHeight="false" outlineLevel="0" collapsed="false">
      <c r="A67" s="40"/>
      <c r="B67" s="41"/>
      <c r="C67" s="41"/>
      <c r="D67" s="41"/>
      <c r="E67" s="41"/>
      <c r="F67" s="41"/>
      <c r="G67" s="41"/>
      <c r="H67" s="41"/>
      <c r="I67" s="41"/>
      <c r="J67" s="38" t="str">
        <f aca="false">IFERROR(F67/E67*1000,"")</f>
        <v/>
      </c>
      <c r="K67" s="39" t="str">
        <f aca="false">IF(E67="","",IF(IFERROR(F67/E67,0)&gt;3*IFERROR(AVERAGE($F$5:$F$85)/AVERAGE($E$5:$E$85),0),"SIM - 5 variações","-"))</f>
        <v/>
      </c>
    </row>
    <row r="68" customFormat="false" ht="15" hidden="false" customHeight="false" outlineLevel="0" collapsed="false">
      <c r="A68" s="40"/>
      <c r="B68" s="41"/>
      <c r="C68" s="41"/>
      <c r="D68" s="41"/>
      <c r="E68" s="41"/>
      <c r="F68" s="41"/>
      <c r="G68" s="41"/>
      <c r="H68" s="41"/>
      <c r="I68" s="41"/>
      <c r="J68" s="38" t="str">
        <f aca="false">IFERROR(F68/E68*1000,"")</f>
        <v/>
      </c>
      <c r="K68" s="39" t="str">
        <f aca="false">IF(E68="","",IF(IFERROR(F68/E68,0)&gt;3*IFERROR(AVERAGE($F$5:$F$85)/AVERAGE($E$5:$E$85),0),"SIM - 5 variações","-"))</f>
        <v/>
      </c>
    </row>
    <row r="69" customFormat="false" ht="15" hidden="false" customHeight="false" outlineLevel="0" collapsed="false">
      <c r="A69" s="40"/>
      <c r="B69" s="41"/>
      <c r="C69" s="41"/>
      <c r="D69" s="41"/>
      <c r="E69" s="41"/>
      <c r="F69" s="41"/>
      <c r="G69" s="41"/>
      <c r="H69" s="41"/>
      <c r="I69" s="41"/>
      <c r="J69" s="38" t="str">
        <f aca="false">IFERROR(F69/E69*1000,"")</f>
        <v/>
      </c>
      <c r="K69" s="39" t="str">
        <f aca="false">IF(E69="","",IF(IFERROR(F69/E69,0)&gt;3*IFERROR(AVERAGE($F$5:$F$85)/AVERAGE($E$5:$E$85),0),"SIM - 5 variações","-"))</f>
        <v/>
      </c>
    </row>
    <row r="70" customFormat="false" ht="15" hidden="false" customHeight="false" outlineLevel="0" collapsed="false">
      <c r="A70" s="40"/>
      <c r="B70" s="41"/>
      <c r="C70" s="41"/>
      <c r="D70" s="41"/>
      <c r="E70" s="41"/>
      <c r="F70" s="41"/>
      <c r="G70" s="41"/>
      <c r="H70" s="41"/>
      <c r="I70" s="41"/>
      <c r="J70" s="38" t="str">
        <f aca="false">IFERROR(F70/E70*1000,"")</f>
        <v/>
      </c>
      <c r="K70" s="39" t="str">
        <f aca="false">IF(E70="","",IF(IFERROR(F70/E70,0)&gt;3*IFERROR(AVERAGE($F$5:$F$85)/AVERAGE($E$5:$E$85),0),"SIM - 5 variações","-"))</f>
        <v/>
      </c>
    </row>
    <row r="71" customFormat="false" ht="15" hidden="false" customHeight="false" outlineLevel="0" collapsed="false">
      <c r="A71" s="40"/>
      <c r="B71" s="41"/>
      <c r="C71" s="41"/>
      <c r="D71" s="41"/>
      <c r="E71" s="41"/>
      <c r="F71" s="41"/>
      <c r="G71" s="41"/>
      <c r="H71" s="41"/>
      <c r="I71" s="41"/>
      <c r="J71" s="38" t="str">
        <f aca="false">IFERROR(F71/E71*1000,"")</f>
        <v/>
      </c>
      <c r="K71" s="39" t="str">
        <f aca="false">IF(E71="","",IF(IFERROR(F71/E71,0)&gt;3*IFERROR(AVERAGE($F$5:$F$85)/AVERAGE($E$5:$E$85),0),"SIM - 5 variações","-"))</f>
        <v/>
      </c>
    </row>
    <row r="72" customFormat="false" ht="15" hidden="false" customHeight="false" outlineLevel="0" collapsed="false">
      <c r="A72" s="40"/>
      <c r="B72" s="41"/>
      <c r="C72" s="41"/>
      <c r="D72" s="41"/>
      <c r="E72" s="41"/>
      <c r="F72" s="41"/>
      <c r="G72" s="41"/>
      <c r="H72" s="41"/>
      <c r="I72" s="41"/>
      <c r="J72" s="38" t="str">
        <f aca="false">IFERROR(F72/E72*1000,"")</f>
        <v/>
      </c>
      <c r="K72" s="39" t="str">
        <f aca="false">IF(E72="","",IF(IFERROR(F72/E72,0)&gt;3*IFERROR(AVERAGE($F$5:$F$85)/AVERAGE($E$5:$E$85),0),"SIM - 5 variações","-"))</f>
        <v/>
      </c>
    </row>
    <row r="73" customFormat="false" ht="15" hidden="false" customHeight="false" outlineLevel="0" collapsed="false">
      <c r="A73" s="40"/>
      <c r="B73" s="41"/>
      <c r="C73" s="41"/>
      <c r="D73" s="41"/>
      <c r="E73" s="41"/>
      <c r="F73" s="41"/>
      <c r="G73" s="41"/>
      <c r="H73" s="41"/>
      <c r="I73" s="41"/>
      <c r="J73" s="38" t="str">
        <f aca="false">IFERROR(F73/E73*1000,"")</f>
        <v/>
      </c>
      <c r="K73" s="39" t="str">
        <f aca="false">IF(E73="","",IF(IFERROR(F73/E73,0)&gt;3*IFERROR(AVERAGE($F$5:$F$85)/AVERAGE($E$5:$E$85),0),"SIM - 5 variações","-"))</f>
        <v/>
      </c>
    </row>
    <row r="74" customFormat="false" ht="15" hidden="false" customHeight="false" outlineLevel="0" collapsed="false">
      <c r="A74" s="40"/>
      <c r="B74" s="41"/>
      <c r="C74" s="41"/>
      <c r="D74" s="41"/>
      <c r="E74" s="41"/>
      <c r="F74" s="41"/>
      <c r="G74" s="41"/>
      <c r="H74" s="41"/>
      <c r="I74" s="41"/>
      <c r="J74" s="38" t="str">
        <f aca="false">IFERROR(F74/E74*1000,"")</f>
        <v/>
      </c>
      <c r="K74" s="39" t="str">
        <f aca="false">IF(E74="","",IF(IFERROR(F74/E74,0)&gt;3*IFERROR(AVERAGE($F$5:$F$85)/AVERAGE($E$5:$E$85),0),"SIM - 5 variações","-"))</f>
        <v/>
      </c>
    </row>
    <row r="75" customFormat="false" ht="15" hidden="false" customHeight="false" outlineLevel="0" collapsed="false">
      <c r="A75" s="40"/>
      <c r="B75" s="41"/>
      <c r="C75" s="41"/>
      <c r="D75" s="41"/>
      <c r="E75" s="41"/>
      <c r="F75" s="41"/>
      <c r="G75" s="41"/>
      <c r="H75" s="41"/>
      <c r="I75" s="41"/>
      <c r="J75" s="38" t="str">
        <f aca="false">IFERROR(F75/E75*1000,"")</f>
        <v/>
      </c>
      <c r="K75" s="39" t="str">
        <f aca="false">IF(E75="","",IF(IFERROR(F75/E75,0)&gt;3*IFERROR(AVERAGE($F$5:$F$85)/AVERAGE($E$5:$E$85),0),"SIM - 5 variações","-"))</f>
        <v/>
      </c>
    </row>
    <row r="76" customFormat="false" ht="15" hidden="false" customHeight="false" outlineLevel="0" collapsed="false">
      <c r="A76" s="40"/>
      <c r="B76" s="41"/>
      <c r="C76" s="41"/>
      <c r="D76" s="41"/>
      <c r="E76" s="41"/>
      <c r="F76" s="41"/>
      <c r="G76" s="41"/>
      <c r="H76" s="41"/>
      <c r="I76" s="41"/>
      <c r="J76" s="38" t="str">
        <f aca="false">IFERROR(F76/E76*1000,"")</f>
        <v/>
      </c>
      <c r="K76" s="39" t="str">
        <f aca="false">IF(E76="","",IF(IFERROR(F76/E76,0)&gt;3*IFERROR(AVERAGE($F$5:$F$85)/AVERAGE($E$5:$E$85),0),"SIM - 5 variações","-"))</f>
        <v/>
      </c>
    </row>
    <row r="77" customFormat="false" ht="15" hidden="false" customHeight="false" outlineLevel="0" collapsed="false">
      <c r="A77" s="40"/>
      <c r="B77" s="41"/>
      <c r="C77" s="41"/>
      <c r="D77" s="41"/>
      <c r="E77" s="41"/>
      <c r="F77" s="41"/>
      <c r="G77" s="41"/>
      <c r="H77" s="41"/>
      <c r="I77" s="41"/>
      <c r="J77" s="38" t="str">
        <f aca="false">IFERROR(F77/E77*1000,"")</f>
        <v/>
      </c>
      <c r="K77" s="39" t="str">
        <f aca="false">IF(E77="","",IF(IFERROR(F77/E77,0)&gt;3*IFERROR(AVERAGE($F$5:$F$85)/AVERAGE($E$5:$E$85),0),"SIM - 5 variações","-"))</f>
        <v/>
      </c>
    </row>
    <row r="78" customFormat="false" ht="15" hidden="false" customHeight="false" outlineLevel="0" collapsed="false">
      <c r="A78" s="40"/>
      <c r="B78" s="41"/>
      <c r="C78" s="41"/>
      <c r="D78" s="41"/>
      <c r="E78" s="41"/>
      <c r="F78" s="41"/>
      <c r="G78" s="41"/>
      <c r="H78" s="41"/>
      <c r="I78" s="41"/>
      <c r="J78" s="38" t="str">
        <f aca="false">IFERROR(F78/E78*1000,"")</f>
        <v/>
      </c>
      <c r="K78" s="39" t="str">
        <f aca="false">IF(E78="","",IF(IFERROR(F78/E78,0)&gt;3*IFERROR(AVERAGE($F$5:$F$85)/AVERAGE($E$5:$E$85),0),"SIM - 5 variações","-"))</f>
        <v/>
      </c>
    </row>
    <row r="79" customFormat="false" ht="15" hidden="false" customHeight="false" outlineLevel="0" collapsed="false">
      <c r="A79" s="40"/>
      <c r="B79" s="41"/>
      <c r="C79" s="41"/>
      <c r="D79" s="41"/>
      <c r="E79" s="41"/>
      <c r="F79" s="41"/>
      <c r="G79" s="41"/>
      <c r="H79" s="41"/>
      <c r="I79" s="41"/>
      <c r="J79" s="38" t="str">
        <f aca="false">IFERROR(F79/E79*1000,"")</f>
        <v/>
      </c>
      <c r="K79" s="39" t="str">
        <f aca="false">IF(E79="","",IF(IFERROR(F79/E79,0)&gt;3*IFERROR(AVERAGE($F$5:$F$85)/AVERAGE($E$5:$E$85),0),"SIM - 5 variações","-"))</f>
        <v/>
      </c>
    </row>
    <row r="80" customFormat="false" ht="15" hidden="false" customHeight="false" outlineLevel="0" collapsed="false">
      <c r="A80" s="40"/>
      <c r="B80" s="41"/>
      <c r="C80" s="41"/>
      <c r="D80" s="41"/>
      <c r="E80" s="41"/>
      <c r="F80" s="41"/>
      <c r="G80" s="41"/>
      <c r="H80" s="41"/>
      <c r="I80" s="41"/>
      <c r="J80" s="38" t="str">
        <f aca="false">IFERROR(F80/E80*1000,"")</f>
        <v/>
      </c>
      <c r="K80" s="39" t="str">
        <f aca="false">IF(E80="","",IF(IFERROR(F80/E80,0)&gt;3*IFERROR(AVERAGE($F$5:$F$85)/AVERAGE($E$5:$E$85),0),"SIM - 5 variações","-"))</f>
        <v/>
      </c>
    </row>
    <row r="81" customFormat="false" ht="15" hidden="false" customHeight="false" outlineLevel="0" collapsed="false">
      <c r="A81" s="40"/>
      <c r="B81" s="41"/>
      <c r="C81" s="41"/>
      <c r="D81" s="41"/>
      <c r="E81" s="41"/>
      <c r="F81" s="41"/>
      <c r="G81" s="41"/>
      <c r="H81" s="41"/>
      <c r="I81" s="41"/>
      <c r="J81" s="38" t="str">
        <f aca="false">IFERROR(F81/E81*1000,"")</f>
        <v/>
      </c>
      <c r="K81" s="39" t="str">
        <f aca="false">IF(E81="","",IF(IFERROR(F81/E81,0)&gt;3*IFERROR(AVERAGE($F$5:$F$85)/AVERAGE($E$5:$E$85),0),"SIM - 5 variações","-"))</f>
        <v/>
      </c>
    </row>
    <row r="82" customFormat="false" ht="15" hidden="false" customHeight="false" outlineLevel="0" collapsed="false">
      <c r="A82" s="40"/>
      <c r="B82" s="41"/>
      <c r="C82" s="41"/>
      <c r="D82" s="41"/>
      <c r="E82" s="41"/>
      <c r="F82" s="41"/>
      <c r="G82" s="41"/>
      <c r="H82" s="41"/>
      <c r="I82" s="41"/>
      <c r="J82" s="38" t="str">
        <f aca="false">IFERROR(F82/E82*1000,"")</f>
        <v/>
      </c>
      <c r="K82" s="39" t="str">
        <f aca="false">IF(E82="","",IF(IFERROR(F82/E82,0)&gt;3*IFERROR(AVERAGE($F$5:$F$85)/AVERAGE($E$5:$E$85),0),"SIM - 5 variações","-"))</f>
        <v/>
      </c>
    </row>
    <row r="83" customFormat="false" ht="15" hidden="false" customHeight="false" outlineLevel="0" collapsed="false">
      <c r="A83" s="40"/>
      <c r="B83" s="41"/>
      <c r="C83" s="41"/>
      <c r="D83" s="41"/>
      <c r="E83" s="41"/>
      <c r="F83" s="41"/>
      <c r="G83" s="41"/>
      <c r="H83" s="41"/>
      <c r="I83" s="41"/>
      <c r="J83" s="38" t="str">
        <f aca="false">IFERROR(F83/E83*1000,"")</f>
        <v/>
      </c>
      <c r="K83" s="39" t="str">
        <f aca="false">IF(E83="","",IF(IFERROR(F83/E83,0)&gt;3*IFERROR(AVERAGE($F$5:$F$85)/AVERAGE($E$5:$E$85),0),"SIM - 5 variações","-"))</f>
        <v/>
      </c>
    </row>
    <row r="84" customFormat="false" ht="15" hidden="false" customHeight="false" outlineLevel="0" collapsed="false">
      <c r="A84" s="40"/>
      <c r="B84" s="41"/>
      <c r="C84" s="41"/>
      <c r="D84" s="41"/>
      <c r="E84" s="41"/>
      <c r="F84" s="41"/>
      <c r="G84" s="41"/>
      <c r="H84" s="41"/>
      <c r="I84" s="41"/>
      <c r="J84" s="38" t="str">
        <f aca="false">IFERROR(F84/E84*1000,"")</f>
        <v/>
      </c>
      <c r="K84" s="39" t="str">
        <f aca="false">IF(E84="","",IF(IFERROR(F84/E84,0)&gt;3*IFERROR(AVERAGE($F$5:$F$85)/AVERAGE($E$5:$E$85),0),"SIM - 5 variações","-"))</f>
        <v/>
      </c>
    </row>
    <row r="85" customFormat="false" ht="15" hidden="false" customHeight="false" outlineLevel="0" collapsed="false">
      <c r="A85" s="40"/>
      <c r="B85" s="41"/>
      <c r="C85" s="41"/>
      <c r="D85" s="41"/>
      <c r="E85" s="41"/>
      <c r="F85" s="41"/>
      <c r="G85" s="41"/>
      <c r="H85" s="41"/>
      <c r="I85" s="41"/>
      <c r="J85" s="38" t="str">
        <f aca="false">IFERROR(F85/E85*1000,"")</f>
        <v/>
      </c>
      <c r="K85" s="39" t="str">
        <f aca="false">IF(E85="","",IF(IFERROR(F85/E85,0)&gt;3*IFERROR(AVERAGE($F$5:$F$85)/AVERAGE($E$5:$E$85),0),"SIM - 5 variações","-"))</f>
        <v/>
      </c>
    </row>
    <row r="88" customFormat="false" ht="15" hidden="false" customHeight="false" outlineLevel="0" collapsed="false">
      <c r="A88" s="26" t="s">
        <v>298</v>
      </c>
    </row>
    <row r="89" customFormat="false" ht="15" hidden="false" customHeight="false" outlineLevel="0" collapsed="false">
      <c r="A89" s="27" t="s">
        <v>299</v>
      </c>
      <c r="C89" s="42" t="n">
        <f aca="false">COUNT(E5:E85)</f>
        <v>1</v>
      </c>
    </row>
    <row r="90" customFormat="false" ht="15" hidden="false" customHeight="false" outlineLevel="0" collapsed="false">
      <c r="A90" s="27" t="s">
        <v>290</v>
      </c>
      <c r="C90" s="43" t="n">
        <f aca="false">SUM(E5:E85)</f>
        <v>4300</v>
      </c>
    </row>
    <row r="91" customFormat="false" ht="15" hidden="false" customHeight="false" outlineLevel="0" collapsed="false">
      <c r="A91" s="27" t="s">
        <v>291</v>
      </c>
      <c r="C91" s="43" t="n">
        <f aca="false">SUM(F5:F85)</f>
        <v>86</v>
      </c>
    </row>
    <row r="92" customFormat="false" ht="15" hidden="false" customHeight="false" outlineLevel="0" collapsed="false">
      <c r="A92" s="27" t="s">
        <v>300</v>
      </c>
      <c r="C92" s="43" t="n">
        <f aca="false">SUM(G5:G85)</f>
        <v>52</v>
      </c>
    </row>
    <row r="93" customFormat="false" ht="15" hidden="false" customHeight="false" outlineLevel="0" collapsed="false">
      <c r="A93" s="27" t="s">
        <v>293</v>
      </c>
      <c r="C93" s="43" t="n">
        <f aca="false">SUM(H5:H85)</f>
        <v>51</v>
      </c>
    </row>
    <row r="94" customFormat="false" ht="15" hidden="false" customHeight="false" outlineLevel="0" collapsed="false">
      <c r="A94" s="27" t="s">
        <v>294</v>
      </c>
      <c r="C94" s="43" t="n">
        <f aca="false">SUM(I5:I85)</f>
        <v>120</v>
      </c>
    </row>
    <row r="95" customFormat="false" ht="15" hidden="false" customHeight="false" outlineLevel="0" collapsed="false">
      <c r="A95" s="27" t="s">
        <v>301</v>
      </c>
      <c r="C95" s="44" t="n">
        <f aca="false">IFERROR(SUM(F5:F85)/SUM(E5:E85)*1000,0)</f>
        <v>20</v>
      </c>
    </row>
    <row r="96" customFormat="false" ht="15" hidden="false" customHeight="false" outlineLevel="0" collapsed="false">
      <c r="A96" s="27" t="s">
        <v>302</v>
      </c>
      <c r="C96" s="43" t="n">
        <f aca="false">IFERROR(SUMIF(C5:C85,"Reels",E5:E85)/COUNTIF(C5:C85,"Reels"),0)</f>
        <v>0</v>
      </c>
    </row>
    <row r="97" customFormat="false" ht="15" hidden="false" customHeight="false" outlineLevel="0" collapsed="false">
      <c r="A97" s="27" t="s">
        <v>303</v>
      </c>
      <c r="C97" s="43" t="n">
        <f aca="false">IFERROR(SUMIF(C5:C85,"Carrossel",E5:E85)/COUNTIF(C5:C85,"Carrossel"),0)</f>
        <v>4300</v>
      </c>
    </row>
    <row r="99" customFormat="false" ht="15" hidden="false" customHeight="false" outlineLevel="0" collapsed="false">
      <c r="A99" s="28" t="s">
        <v>304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2026-08-11T23:12:53Z</dcterms:created>
  <dc:creator>openpyxl</dc:creator>
  <dc:description/>
  <dc:language>en-US</dc:language>
  <cp:lastModifiedBy/>
  <dcterms:modified xsi:type="dcterms:W3CDTF">2026-08-11T23:12:53Z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